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tram singh\Downloads\"/>
    </mc:Choice>
  </mc:AlternateContent>
  <xr:revisionPtr revIDLastSave="0" documentId="13_ncr:1_{A8641570-BF54-4F3C-9B97-3A7628BBA21D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Sales by Country" sheetId="2" r:id="rId1"/>
    <sheet name="Profit by Segment" sheetId="3" r:id="rId2"/>
    <sheet name="Monthly Sales Trend" sheetId="4" r:id="rId3"/>
    <sheet name="Sample data" sheetId="1" r:id="rId4"/>
    <sheet name="Dashboard" sheetId="5" r:id="rId5"/>
  </sheets>
  <calcPr calcId="181029"/>
  <pivotCaches>
    <pivotCache cacheId="8" r:id="rId6"/>
  </pivotCaches>
</workbook>
</file>

<file path=xl/calcChain.xml><?xml version="1.0" encoding="utf-8"?>
<calcChain xmlns="http://schemas.openxmlformats.org/spreadsheetml/2006/main">
  <c r="D2" i="5" l="1"/>
  <c r="A2" i="5"/>
</calcChain>
</file>

<file path=xl/sharedStrings.xml><?xml version="1.0" encoding="utf-8"?>
<sst xmlns="http://schemas.openxmlformats.org/spreadsheetml/2006/main" count="3537" uniqueCount="54">
  <si>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</si>
  <si>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</si>
  <si>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</si>
  <si>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</si>
  <si>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</si>
  <si>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</si>
  <si>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</si>
  <si>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</si>
  <si>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</si>
  <si>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</si>
  <si>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</si>
  <si>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</si>
  <si>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</si>
  <si>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</si>
  <si>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</si>
  <si>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</si>
  <si>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</si>
  <si>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</si>
  <si>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</si>
  <si>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</si>
  <si>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</si>
  <si>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</si>
  <si>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</si>
  <si>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</si>
  <si>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</si>
  <si>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</si>
  <si>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</si>
  <si>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</si>
  <si>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</si>
  <si>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</si>
  <si>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</si>
  <si>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</si>
  <si>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</si>
  <si>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</si>
  <si>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</si>
  <si>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</si>
  <si>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</si>
  <si>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</si>
  <si>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</si>
  <si>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</si>
  <si>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</si>
  <si>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</si>
  <si>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</si>
  <si>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</si>
  <si>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</si>
  <si>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</si>
  <si>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</si>
  <si>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</si>
  <si>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Row Labels</t>
  </si>
  <si>
    <t>Grand Total</t>
  </si>
  <si>
    <t>Sum of Sales</t>
  </si>
  <si>
    <t>Sum of Profit</t>
  </si>
  <si>
    <t>Total Revenue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</si>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</sst>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8"/>
      <color theme="1"/>
      <name val="Aptos Narrow"/>
      <family val="2"/>
    </font>
    <font>
      <sz val="18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[cleaned_sample_data.xlsx]Sales by Country!PivotTable1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3-4FDF-8BDF-9E5CAF35D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872600"/>
        <c:axId val="475965656"/>
      </c:barChart>
      <c:catAx>
        <c:axId val="4748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65656"/>
        <c:crosses val="autoZero"/>
        <c:auto val="1"/>
        <c:lblAlgn val="ctr"/>
        <c:lblOffset val="100"/>
        <c:noMultiLvlLbl val="0"/>
      </c:catAx>
      <c:valAx>
        <c:axId val="47596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7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[cleaned_sample_data.xlsx]Profit by Segment!PivotTable2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'Profit by Segment'!$B$4:$B$9</c:f>
              <c:numCache>
                <c:formatCode>General</c:formatCode>
                <c:ptCount val="5"/>
                <c:pt idx="0">
                  <c:v>1316803.1400000004</c:v>
                </c:pt>
                <c:pt idx="1">
                  <c:v>-614545.625</c:v>
                </c:pt>
                <c:pt idx="2">
                  <c:v>11388173.169999994</c:v>
                </c:pt>
                <c:pt idx="3">
                  <c:v>660103.07500000007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9-4E55-88D3-DABE55258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296560"/>
        <c:axId val="572290440"/>
      </c:barChart>
      <c:catAx>
        <c:axId val="57229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90440"/>
        <c:crosses val="autoZero"/>
        <c:auto val="1"/>
        <c:lblAlgn val="ctr"/>
        <c:lblOffset val="100"/>
        <c:noMultiLvlLbl val="0"/>
      </c:catAx>
      <c:valAx>
        <c:axId val="572290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[cleaned_sample_data.xlsx]Monthly Sales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6607761.6799999997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</c:v>
                </c:pt>
                <c:pt idx="9">
                  <c:v>21671431.019999996</c:v>
                </c:pt>
                <c:pt idx="10">
                  <c:v>12651417.499999996</c:v>
                </c:pt>
                <c:pt idx="11">
                  <c:v>17367228.979999997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F7-4062-9D69-E9A379E21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600784"/>
        <c:axId val="579599704"/>
      </c:lineChart>
      <c:catAx>
        <c:axId val="5796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99704"/>
        <c:crosses val="autoZero"/>
        <c:auto val="1"/>
        <c:lblAlgn val="ctr"/>
        <c:lblOffset val="100"/>
        <c:noMultiLvlLbl val="0"/>
      </c:catAx>
      <c:valAx>
        <c:axId val="57959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[cleaned_sample_data.xlsx]Sales by Country!PivotTable1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Country'!$A$4:$A$9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'Sales by Country'!$B$4:$B$9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C-4CB1-9B80-E8E66A56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872600"/>
        <c:axId val="475965656"/>
      </c:barChart>
      <c:catAx>
        <c:axId val="4748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65656"/>
        <c:crosses val="autoZero"/>
        <c:auto val="1"/>
        <c:lblAlgn val="ctr"/>
        <c:lblOffset val="100"/>
        <c:noMultiLvlLbl val="0"/>
      </c:catAx>
      <c:valAx>
        <c:axId val="475965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7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[cleaned_sample_data.xlsx]Profit by Segment!PivotTable2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Segment'!$A$4:$A$9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'Profit by Segment'!$B$4:$B$9</c:f>
              <c:numCache>
                <c:formatCode>General</c:formatCode>
                <c:ptCount val="5"/>
                <c:pt idx="0">
                  <c:v>1316803.1400000004</c:v>
                </c:pt>
                <c:pt idx="1">
                  <c:v>-614545.625</c:v>
                </c:pt>
                <c:pt idx="2">
                  <c:v>11388173.169999994</c:v>
                </c:pt>
                <c:pt idx="3">
                  <c:v>660103.07500000007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1-44CE-858B-20B9509A6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296560"/>
        <c:axId val="572290440"/>
      </c:barChart>
      <c:catAx>
        <c:axId val="57229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90440"/>
        <c:crosses val="autoZero"/>
        <c:auto val="1"/>
        <c:lblAlgn val="ctr"/>
        <c:lblOffset val="100"/>
        <c:noMultiLvlLbl val="0"/>
      </c:catAx>
      <c:valAx>
        <c:axId val="572290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[cleaned_sample_data.xlsx]Monthly Sales Trend!PivotTable3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6607761.6799999997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</c:v>
                </c:pt>
                <c:pt idx="9">
                  <c:v>21671431.019999996</c:v>
                </c:pt>
                <c:pt idx="10">
                  <c:v>12651417.499999996</c:v>
                </c:pt>
                <c:pt idx="11">
                  <c:v>17367228.979999997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D-4D46-86D8-557A8E89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600784"/>
        <c:axId val="579599704"/>
      </c:lineChart>
      <c:catAx>
        <c:axId val="5796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99704"/>
        <c:crosses val="autoZero"/>
        <c:auto val="1"/>
        <c:lblAlgn val="ctr"/>
        <c:lblOffset val="100"/>
        <c:noMultiLvlLbl val="0"/>
      </c:catAx>
      <c:valAx>
        <c:axId val="57959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</xdr:row>
      <xdr:rowOff>114300</xdr:rowOff>
    </xdr:from>
    <xdr:to>
      <xdr:col>9</xdr:col>
      <xdr:colOff>482600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0F9F2-F2BC-D41B-EB11-0FF5BFB08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2</xdr:row>
      <xdr:rowOff>0</xdr:rowOff>
    </xdr:from>
    <xdr:to>
      <xdr:col>10</xdr:col>
      <xdr:colOff>222250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49284-6114-F52B-C04B-E984CF879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850900</xdr:colOff>
      <xdr:row>2</xdr:row>
      <xdr:rowOff>95250</xdr:rowOff>
    </xdr:from>
    <xdr:to>
      <xdr:col>9</xdr:col>
      <xdr:colOff>349250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6671A-DB92-D66D-4D62-A3DF8A349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38100</xdr:rowOff>
    </xdr:from>
    <xdr:to>
      <xdr:col>6</xdr:col>
      <xdr:colOff>488950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6FBBF-9493-435F-B69F-B353ECECE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501650</xdr:colOff>
      <xdr:row>2</xdr:row>
      <xdr:rowOff>38100</xdr:rowOff>
    </xdr:from>
    <xdr:to>
      <xdr:col>13</xdr:col>
      <xdr:colOff>152400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BBDFEA-8E48-454E-9220-2951AE4A4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171450</xdr:colOff>
      <xdr:row>2</xdr:row>
      <xdr:rowOff>38100</xdr:rowOff>
    </xdr:from>
    <xdr:to>
      <xdr:col>19</xdr:col>
      <xdr:colOff>247650</xdr:colOff>
      <xdr:row>19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2737C-4F21-4629-A87B-39156C52C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ram singh" refreshedDate="46257.851748611109" createdVersion="8" refreshedVersion="8" minRefreshableVersion="3" recordCount="700" xr:uid="{BE132185-1742-47AE-B790-25923EC64E05}">
  <cacheSource type="worksheet">
    <worksheetSource ref="A1:P701" sheet="Sample data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65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 count="12">
        <n v="12"/>
        <n v="6"/>
        <n v="11"/>
        <n v="9"/>
        <n v="2"/>
        <n v="3"/>
        <n v="10"/>
        <n v="4"/>
        <n v="8"/>
        <n v="7"/>
        <n v="1"/>
        <n v="5"/>
      </sharedItems>
    </cacheField>
    <cacheField name="Month Name" numFmtId="0">
      <sharedItems count="12">
        <s v="December"/>
        <s v="June"/>
        <s v="November"/>
        <s v="September"/>
        <s v="February"/>
        <s v="March"/>
        <s v="October"/>
        <s v="April"/>
        <s v="August"/>
        <s v="July"/>
        <s v="January"/>
        <s v="May"/>
      </sharedItems>
    </cacheField>
    <cacheField name="Year" numFmtId="0">
      <sharedItems containsSemiMixedTypes="0" containsString="0" containsNumber="1" containsInteger="1" minValue="2013" maxValue="20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s v="Carretera"/>
    <s v="None"/>
    <n v="1513"/>
    <n v="3"/>
    <n v="350"/>
    <n v="529550"/>
    <n v="0"/>
    <n v="529550"/>
    <n v="393380"/>
    <n v="136170"/>
    <d v="2014-12-01T00:00:00"/>
    <x v="0"/>
    <x v="0"/>
    <n v="2014"/>
  </r>
  <r>
    <x v="0"/>
    <x v="0"/>
    <s v="Paseo"/>
    <s v="None"/>
    <n v="1006"/>
    <n v="10"/>
    <n v="350"/>
    <n v="352100"/>
    <n v="0"/>
    <n v="352100"/>
    <n v="261560"/>
    <n v="90540"/>
    <d v="2014-06-01T00:00:00"/>
    <x v="1"/>
    <x v="1"/>
    <n v="2014"/>
  </r>
  <r>
    <x v="0"/>
    <x v="1"/>
    <s v="Paseo"/>
    <s v="None"/>
    <n v="1725"/>
    <n v="10"/>
    <n v="350"/>
    <n v="603750"/>
    <n v="0"/>
    <n v="603750"/>
    <n v="448500"/>
    <n v="155250"/>
    <d v="2013-11-01T00:00:00"/>
    <x v="2"/>
    <x v="2"/>
    <n v="2013"/>
  </r>
  <r>
    <x v="0"/>
    <x v="0"/>
    <s v="Paseo"/>
    <s v="None"/>
    <n v="1513"/>
    <n v="10"/>
    <n v="350"/>
    <n v="529550"/>
    <n v="0"/>
    <n v="529550"/>
    <n v="393380"/>
    <n v="136170"/>
    <d v="2014-12-01T00:00:00"/>
    <x v="0"/>
    <x v="0"/>
    <n v="2014"/>
  </r>
  <r>
    <x v="0"/>
    <x v="0"/>
    <s v="Velo"/>
    <s v="None"/>
    <n v="1006"/>
    <n v="120"/>
    <n v="350"/>
    <n v="352100"/>
    <n v="0"/>
    <n v="352100"/>
    <n v="261560"/>
    <n v="90540"/>
    <d v="2014-06-01T00:00:00"/>
    <x v="1"/>
    <x v="1"/>
    <n v="2014"/>
  </r>
  <r>
    <x v="0"/>
    <x v="2"/>
    <s v="VTT"/>
    <s v="None"/>
    <n v="1527"/>
    <n v="250"/>
    <n v="350"/>
    <n v="534450"/>
    <n v="0"/>
    <n v="534450"/>
    <n v="397020"/>
    <n v="137430"/>
    <d v="2013-09-01T00:00:00"/>
    <x v="3"/>
    <x v="3"/>
    <n v="2013"/>
  </r>
  <r>
    <x v="0"/>
    <x v="2"/>
    <s v="Amarilla"/>
    <s v="None"/>
    <n v="2750"/>
    <n v="260"/>
    <n v="350"/>
    <n v="962500"/>
    <n v="0"/>
    <n v="962500"/>
    <n v="715000"/>
    <n v="247500"/>
    <d v="2014-02-01T00:00:00"/>
    <x v="4"/>
    <x v="4"/>
    <n v="2014"/>
  </r>
  <r>
    <x v="0"/>
    <x v="3"/>
    <s v="Carretera"/>
    <s v="Low"/>
    <n v="1210"/>
    <n v="3"/>
    <n v="350"/>
    <n v="423500"/>
    <n v="4235"/>
    <n v="419265"/>
    <n v="314600"/>
    <n v="104665"/>
    <d v="2014-03-01T00:00:00"/>
    <x v="5"/>
    <x v="5"/>
    <n v="2014"/>
  </r>
  <r>
    <x v="0"/>
    <x v="3"/>
    <s v="Carretera"/>
    <s v="Low"/>
    <n v="1397"/>
    <n v="3"/>
    <n v="350"/>
    <n v="488950"/>
    <n v="4889.5"/>
    <n v="484060.5"/>
    <n v="363220"/>
    <n v="120840.5"/>
    <d v="2014-10-01T00:00:00"/>
    <x v="6"/>
    <x v="6"/>
    <n v="2014"/>
  </r>
  <r>
    <x v="0"/>
    <x v="2"/>
    <s v="Carretera"/>
    <s v="Low"/>
    <n v="2155"/>
    <n v="3"/>
    <n v="350"/>
    <n v="754250"/>
    <n v="7542.5"/>
    <n v="746707.5"/>
    <n v="560300"/>
    <n v="186407.5"/>
    <d v="2014-12-01T00:00:00"/>
    <x v="0"/>
    <x v="0"/>
    <n v="2014"/>
  </r>
  <r>
    <x v="0"/>
    <x v="2"/>
    <s v="Paseo"/>
    <s v="Low"/>
    <n v="2155"/>
    <n v="10"/>
    <n v="350"/>
    <n v="754250"/>
    <n v="7542.5"/>
    <n v="746707.5"/>
    <n v="560300"/>
    <n v="186407.5"/>
    <d v="2014-12-01T00:00:00"/>
    <x v="0"/>
    <x v="0"/>
    <n v="2014"/>
  </r>
  <r>
    <x v="0"/>
    <x v="1"/>
    <s v="VTT"/>
    <s v="Low"/>
    <n v="943.5"/>
    <n v="250"/>
    <n v="350"/>
    <n v="330225"/>
    <n v="3302.25"/>
    <n v="326922.75"/>
    <n v="245310"/>
    <n v="81612.75"/>
    <d v="2014-04-01T00:00:00"/>
    <x v="7"/>
    <x v="7"/>
    <n v="2014"/>
  </r>
  <r>
    <x v="0"/>
    <x v="3"/>
    <s v="VTT"/>
    <s v="Low"/>
    <n v="1397"/>
    <n v="250"/>
    <n v="350"/>
    <n v="488950"/>
    <n v="4889.5"/>
    <n v="484060.5"/>
    <n v="363220"/>
    <n v="120840.5"/>
    <d v="2014-10-01T00:00:00"/>
    <x v="6"/>
    <x v="6"/>
    <n v="2014"/>
  </r>
  <r>
    <x v="0"/>
    <x v="1"/>
    <s v="Carretera"/>
    <s v="Low"/>
    <n v="2852"/>
    <n v="3"/>
    <n v="350"/>
    <n v="998200"/>
    <n v="19964"/>
    <n v="978236"/>
    <n v="741520"/>
    <n v="236716"/>
    <d v="2014-12-01T00:00:00"/>
    <x v="0"/>
    <x v="0"/>
    <n v="2014"/>
  </r>
  <r>
    <x v="0"/>
    <x v="1"/>
    <s v="Paseo"/>
    <s v="Low"/>
    <n v="2852"/>
    <n v="10"/>
    <n v="350"/>
    <n v="998200"/>
    <n v="19964"/>
    <n v="978236"/>
    <n v="741520"/>
    <n v="236716"/>
    <d v="2014-12-01T00:00:00"/>
    <x v="0"/>
    <x v="0"/>
    <n v="2014"/>
  </r>
  <r>
    <x v="0"/>
    <x v="0"/>
    <s v="Velo"/>
    <s v="Low"/>
    <n v="2966"/>
    <n v="120"/>
    <n v="350"/>
    <n v="1038100"/>
    <n v="20762"/>
    <n v="1017338"/>
    <n v="771160"/>
    <n v="246178"/>
    <d v="2013-10-01T00:00:00"/>
    <x v="6"/>
    <x v="6"/>
    <n v="2013"/>
  </r>
  <r>
    <x v="0"/>
    <x v="0"/>
    <s v="Velo"/>
    <s v="Low"/>
    <n v="2877"/>
    <n v="120"/>
    <n v="350"/>
    <n v="1006950"/>
    <n v="20139"/>
    <n v="986811"/>
    <n v="748020"/>
    <n v="238791"/>
    <d v="2014-10-01T00:00:00"/>
    <x v="6"/>
    <x v="6"/>
    <n v="2014"/>
  </r>
  <r>
    <x v="0"/>
    <x v="0"/>
    <s v="VTT"/>
    <s v="Low"/>
    <n v="2877"/>
    <n v="250"/>
    <n v="350"/>
    <n v="1006950"/>
    <n v="20139"/>
    <n v="986811"/>
    <n v="748020"/>
    <n v="238791"/>
    <d v="2014-10-01T00:00:00"/>
    <x v="6"/>
    <x v="6"/>
    <n v="2014"/>
  </r>
  <r>
    <x v="0"/>
    <x v="4"/>
    <s v="VTT"/>
    <s v="Low"/>
    <n v="266"/>
    <n v="250"/>
    <n v="350"/>
    <n v="93100"/>
    <n v="1862"/>
    <n v="91238"/>
    <n v="69160"/>
    <n v="22078"/>
    <d v="2013-12-01T00:00:00"/>
    <x v="0"/>
    <x v="0"/>
    <n v="2013"/>
  </r>
  <r>
    <x v="0"/>
    <x v="3"/>
    <s v="VTT"/>
    <s v="Low"/>
    <n v="1940"/>
    <n v="250"/>
    <n v="350"/>
    <n v="679000"/>
    <n v="13580"/>
    <n v="665420"/>
    <n v="504400"/>
    <n v="161020"/>
    <d v="2013-12-01T00:00:00"/>
    <x v="0"/>
    <x v="0"/>
    <n v="2013"/>
  </r>
  <r>
    <x v="0"/>
    <x v="0"/>
    <s v="Amarilla"/>
    <s v="Low"/>
    <n v="2966"/>
    <n v="260"/>
    <n v="350"/>
    <n v="1038100"/>
    <n v="20762"/>
    <n v="1017338"/>
    <n v="771160"/>
    <n v="246178"/>
    <d v="2013-10-01T00:00:00"/>
    <x v="6"/>
    <x v="6"/>
    <n v="2013"/>
  </r>
  <r>
    <x v="0"/>
    <x v="0"/>
    <s v="Montana"/>
    <s v="Low"/>
    <n v="1797"/>
    <n v="5"/>
    <n v="350"/>
    <n v="628950"/>
    <n v="18868.5"/>
    <n v="610081.5"/>
    <n v="467220"/>
    <n v="142861.5"/>
    <d v="2013-09-01T00:00:00"/>
    <x v="3"/>
    <x v="3"/>
    <n v="2013"/>
  </r>
  <r>
    <x v="0"/>
    <x v="3"/>
    <s v="VTT"/>
    <s v="Low"/>
    <n v="1642"/>
    <n v="250"/>
    <n v="350"/>
    <n v="574700"/>
    <n v="17241"/>
    <n v="557459"/>
    <n v="426920"/>
    <n v="130539"/>
    <d v="2014-08-01T00:00:00"/>
    <x v="8"/>
    <x v="8"/>
    <n v="2014"/>
  </r>
  <r>
    <x v="0"/>
    <x v="4"/>
    <s v="Carretera"/>
    <s v="Low"/>
    <n v="274"/>
    <n v="3"/>
    <n v="350"/>
    <n v="95900"/>
    <n v="3836"/>
    <n v="92064"/>
    <n v="71240"/>
    <n v="20824"/>
    <d v="2014-12-01T00:00:00"/>
    <x v="0"/>
    <x v="0"/>
    <n v="2014"/>
  </r>
  <r>
    <x v="0"/>
    <x v="4"/>
    <s v="Paseo"/>
    <s v="Low"/>
    <n v="3450"/>
    <n v="10"/>
    <n v="350"/>
    <n v="1207500"/>
    <n v="48300"/>
    <n v="1159200"/>
    <n v="897000"/>
    <n v="262200"/>
    <d v="2014-07-01T00:00:00"/>
    <x v="9"/>
    <x v="9"/>
    <n v="2014"/>
  </r>
  <r>
    <x v="0"/>
    <x v="4"/>
    <s v="Paseo"/>
    <s v="Low"/>
    <n v="274"/>
    <n v="10"/>
    <n v="350"/>
    <n v="95900"/>
    <n v="3836"/>
    <n v="92064"/>
    <n v="71240"/>
    <n v="20824"/>
    <d v="2014-12-01T00:00:00"/>
    <x v="0"/>
    <x v="0"/>
    <n v="2014"/>
  </r>
  <r>
    <x v="0"/>
    <x v="2"/>
    <s v="Velo"/>
    <s v="Low"/>
    <n v="2177"/>
    <n v="120"/>
    <n v="350"/>
    <n v="761950"/>
    <n v="30478"/>
    <n v="731472"/>
    <n v="566020"/>
    <n v="165452"/>
    <d v="2014-10-01T00:00:00"/>
    <x v="6"/>
    <x v="6"/>
    <n v="2014"/>
  </r>
  <r>
    <x v="0"/>
    <x v="4"/>
    <s v="VTT"/>
    <s v="Low"/>
    <n v="349"/>
    <n v="250"/>
    <n v="350"/>
    <n v="122150"/>
    <n v="4886"/>
    <n v="117264"/>
    <n v="90740"/>
    <n v="26524"/>
    <d v="2013-09-01T00:00:00"/>
    <x v="3"/>
    <x v="3"/>
    <n v="2013"/>
  </r>
  <r>
    <x v="0"/>
    <x v="2"/>
    <s v="VTT"/>
    <s v="Low"/>
    <n v="2177"/>
    <n v="250"/>
    <n v="350"/>
    <n v="761950"/>
    <n v="30478"/>
    <n v="731472"/>
    <n v="566020"/>
    <n v="165452"/>
    <d v="2014-10-01T00:00:00"/>
    <x v="6"/>
    <x v="6"/>
    <n v="2014"/>
  </r>
  <r>
    <x v="0"/>
    <x v="3"/>
    <s v="Amarilla"/>
    <s v="Low"/>
    <n v="1865"/>
    <n v="260"/>
    <n v="350"/>
    <n v="652750"/>
    <n v="26110"/>
    <n v="626640"/>
    <n v="484900"/>
    <n v="141740"/>
    <d v="2014-02-01T00:00:00"/>
    <x v="4"/>
    <x v="4"/>
    <n v="2014"/>
  </r>
  <r>
    <x v="0"/>
    <x v="0"/>
    <s v="Amarilla"/>
    <s v="Low"/>
    <n v="1907"/>
    <n v="260"/>
    <n v="350"/>
    <n v="667450"/>
    <n v="26698"/>
    <n v="640752"/>
    <n v="495820"/>
    <n v="144932"/>
    <d v="2014-09-01T00:00:00"/>
    <x v="3"/>
    <x v="3"/>
    <n v="2014"/>
  </r>
  <r>
    <x v="0"/>
    <x v="1"/>
    <s v="Amarilla"/>
    <s v="Low"/>
    <n v="1778"/>
    <n v="260"/>
    <n v="350"/>
    <n v="622300"/>
    <n v="24892"/>
    <n v="597408"/>
    <n v="462280"/>
    <n v="135128"/>
    <d v="2013-12-01T00:00:00"/>
    <x v="0"/>
    <x v="0"/>
    <n v="2013"/>
  </r>
  <r>
    <x v="0"/>
    <x v="2"/>
    <s v="Montana"/>
    <s v="Medium"/>
    <n v="1384.5"/>
    <n v="5"/>
    <n v="350"/>
    <n v="484575"/>
    <n v="24228.75"/>
    <n v="460346.25"/>
    <n v="359970"/>
    <n v="100376.25"/>
    <d v="2014-01-01T00:00:00"/>
    <x v="10"/>
    <x v="10"/>
    <n v="2014"/>
  </r>
  <r>
    <x v="0"/>
    <x v="3"/>
    <s v="Montana"/>
    <s v="Medium"/>
    <n v="720"/>
    <n v="5"/>
    <n v="350"/>
    <n v="252000"/>
    <n v="12600"/>
    <n v="239400"/>
    <n v="187200"/>
    <n v="52200"/>
    <d v="2013-09-01T00:00:00"/>
    <x v="3"/>
    <x v="3"/>
    <n v="2013"/>
  </r>
  <r>
    <x v="0"/>
    <x v="4"/>
    <s v="Paseo"/>
    <s v="Medium"/>
    <n v="602"/>
    <n v="10"/>
    <n v="350"/>
    <n v="210700"/>
    <n v="10535"/>
    <n v="200165"/>
    <n v="156520"/>
    <n v="43645"/>
    <d v="2014-06-01T00:00:00"/>
    <x v="1"/>
    <x v="1"/>
    <n v="2014"/>
  </r>
  <r>
    <x v="0"/>
    <x v="1"/>
    <s v="Paseo"/>
    <s v="Medium"/>
    <n v="1228"/>
    <n v="10"/>
    <n v="350"/>
    <n v="429800"/>
    <n v="21490"/>
    <n v="408310"/>
    <n v="319280"/>
    <n v="89030"/>
    <d v="2013-10-01T00:00:00"/>
    <x v="6"/>
    <x v="6"/>
    <n v="2013"/>
  </r>
  <r>
    <x v="0"/>
    <x v="4"/>
    <s v="Velo"/>
    <s v="Medium"/>
    <n v="602"/>
    <n v="120"/>
    <n v="350"/>
    <n v="210700"/>
    <n v="10535"/>
    <n v="200165"/>
    <n v="156520"/>
    <n v="43645"/>
    <d v="2014-06-01T00:00:00"/>
    <x v="1"/>
    <x v="1"/>
    <n v="2014"/>
  </r>
  <r>
    <x v="0"/>
    <x v="0"/>
    <s v="Amarilla"/>
    <s v="Medium"/>
    <n v="1350"/>
    <n v="260"/>
    <n v="350"/>
    <n v="472500"/>
    <n v="23625"/>
    <n v="448875"/>
    <n v="351000"/>
    <n v="97875"/>
    <d v="2014-02-01T00:00:00"/>
    <x v="4"/>
    <x v="4"/>
    <n v="2014"/>
  </r>
  <r>
    <x v="0"/>
    <x v="1"/>
    <s v="Amarilla"/>
    <s v="Medium"/>
    <n v="552"/>
    <n v="260"/>
    <n v="350"/>
    <n v="193200"/>
    <n v="9660"/>
    <n v="183540"/>
    <n v="143520"/>
    <n v="40020"/>
    <d v="2014-08-01T00:00:00"/>
    <x v="8"/>
    <x v="8"/>
    <n v="2014"/>
  </r>
  <r>
    <x v="0"/>
    <x v="1"/>
    <s v="Amarilla"/>
    <s v="Medium"/>
    <n v="1228"/>
    <n v="260"/>
    <n v="350"/>
    <n v="429800"/>
    <n v="21490"/>
    <n v="408310"/>
    <n v="319280"/>
    <n v="89030"/>
    <d v="2013-10-01T00:00:00"/>
    <x v="6"/>
    <x v="6"/>
    <n v="2013"/>
  </r>
  <r>
    <x v="0"/>
    <x v="3"/>
    <s v="Montana"/>
    <s v="Medium"/>
    <n v="980"/>
    <n v="5"/>
    <n v="350"/>
    <n v="343000"/>
    <n v="20580"/>
    <n v="322420"/>
    <n v="254800"/>
    <n v="67620"/>
    <d v="2014-04-01T00:00:00"/>
    <x v="7"/>
    <x v="7"/>
    <n v="2014"/>
  </r>
  <r>
    <x v="0"/>
    <x v="0"/>
    <s v="Montana"/>
    <s v="Medium"/>
    <n v="1460"/>
    <n v="5"/>
    <n v="350"/>
    <n v="511000"/>
    <n v="30660"/>
    <n v="480340"/>
    <n v="379600"/>
    <n v="100740"/>
    <d v="2014-05-01T00:00:00"/>
    <x v="11"/>
    <x v="11"/>
    <n v="2014"/>
  </r>
  <r>
    <x v="0"/>
    <x v="2"/>
    <s v="Paseo"/>
    <s v="Medium"/>
    <n v="1496"/>
    <n v="10"/>
    <n v="350"/>
    <n v="523600"/>
    <n v="31416"/>
    <n v="492184"/>
    <n v="388960"/>
    <n v="103224"/>
    <d v="2014-06-01T00:00:00"/>
    <x v="1"/>
    <x v="1"/>
    <n v="2014"/>
  </r>
  <r>
    <x v="0"/>
    <x v="4"/>
    <s v="Paseo"/>
    <s v="Medium"/>
    <n v="727"/>
    <n v="10"/>
    <n v="350"/>
    <n v="254450"/>
    <n v="15267"/>
    <n v="239183"/>
    <n v="189020"/>
    <n v="50163"/>
    <d v="2013-10-01T00:00:00"/>
    <x v="6"/>
    <x v="6"/>
    <n v="2013"/>
  </r>
  <r>
    <x v="0"/>
    <x v="2"/>
    <s v="Velo"/>
    <s v="Medium"/>
    <n v="1496"/>
    <n v="120"/>
    <n v="350"/>
    <n v="523600"/>
    <n v="31416"/>
    <n v="492184"/>
    <n v="388960"/>
    <n v="103224"/>
    <d v="2014-06-01T00:00:00"/>
    <x v="1"/>
    <x v="1"/>
    <n v="2014"/>
  </r>
  <r>
    <x v="0"/>
    <x v="2"/>
    <s v="Velo"/>
    <s v="Medium"/>
    <n v="2076"/>
    <n v="120"/>
    <n v="350"/>
    <n v="726600"/>
    <n v="43596"/>
    <n v="683004"/>
    <n v="539760"/>
    <n v="143244"/>
    <d v="2013-10-01T00:00:00"/>
    <x v="6"/>
    <x v="6"/>
    <n v="2013"/>
  </r>
  <r>
    <x v="0"/>
    <x v="3"/>
    <s v="Amarilla"/>
    <s v="Medium"/>
    <n v="1679"/>
    <n v="260"/>
    <n v="350"/>
    <n v="587650"/>
    <n v="35259"/>
    <n v="552391"/>
    <n v="436540"/>
    <n v="115851"/>
    <d v="2014-09-01T00:00:00"/>
    <x v="3"/>
    <x v="3"/>
    <n v="2014"/>
  </r>
  <r>
    <x v="0"/>
    <x v="4"/>
    <s v="Amarilla"/>
    <s v="Medium"/>
    <n v="727"/>
    <n v="260"/>
    <n v="350"/>
    <n v="254450"/>
    <n v="15267"/>
    <n v="239183"/>
    <n v="189020"/>
    <n v="50163"/>
    <d v="2013-10-01T00:00:00"/>
    <x v="6"/>
    <x v="6"/>
    <n v="2013"/>
  </r>
  <r>
    <x v="0"/>
    <x v="2"/>
    <s v="Amarilla"/>
    <s v="Medium"/>
    <n v="2076"/>
    <n v="260"/>
    <n v="350"/>
    <n v="726600"/>
    <n v="43596"/>
    <n v="683004"/>
    <n v="539760"/>
    <n v="143244"/>
    <d v="2013-10-01T00:00:00"/>
    <x v="6"/>
    <x v="6"/>
    <n v="2013"/>
  </r>
  <r>
    <x v="0"/>
    <x v="4"/>
    <s v="Carretera"/>
    <s v="Medium"/>
    <n v="1761"/>
    <n v="3"/>
    <n v="350"/>
    <n v="616350"/>
    <n v="43144.5"/>
    <n v="573205.5"/>
    <n v="457860"/>
    <n v="115345.5"/>
    <d v="2014-03-01T00:00:00"/>
    <x v="5"/>
    <x v="5"/>
    <n v="2014"/>
  </r>
  <r>
    <x v="0"/>
    <x v="2"/>
    <s v="Amarilla"/>
    <s v="Medium"/>
    <n v="2876"/>
    <n v="260"/>
    <n v="350"/>
    <n v="1006600"/>
    <n v="70462"/>
    <n v="936138"/>
    <n v="747760"/>
    <n v="188378"/>
    <d v="2014-09-01T00:00:00"/>
    <x v="3"/>
    <x v="3"/>
    <n v="2014"/>
  </r>
  <r>
    <x v="0"/>
    <x v="3"/>
    <s v="Carretera"/>
    <s v="Medium"/>
    <n v="1362"/>
    <n v="3"/>
    <n v="350"/>
    <n v="476700"/>
    <n v="38136"/>
    <n v="438564"/>
    <n v="354120"/>
    <n v="84444"/>
    <d v="2014-12-01T00:00:00"/>
    <x v="0"/>
    <x v="0"/>
    <n v="2014"/>
  </r>
  <r>
    <x v="0"/>
    <x v="0"/>
    <s v="Paseo"/>
    <s v="Medium"/>
    <n v="2146"/>
    <n v="10"/>
    <n v="350"/>
    <n v="751100"/>
    <n v="60088"/>
    <n v="691012"/>
    <n v="557960"/>
    <n v="133052"/>
    <d v="2013-11-01T00:00:00"/>
    <x v="2"/>
    <x v="2"/>
    <n v="2013"/>
  </r>
  <r>
    <x v="0"/>
    <x v="3"/>
    <s v="Paseo"/>
    <s v="Medium"/>
    <n v="1362"/>
    <n v="10"/>
    <n v="350"/>
    <n v="476700"/>
    <n v="38136"/>
    <n v="438564"/>
    <n v="354120"/>
    <n v="84444"/>
    <d v="2014-12-01T00:00:00"/>
    <x v="0"/>
    <x v="0"/>
    <n v="2014"/>
  </r>
  <r>
    <x v="0"/>
    <x v="2"/>
    <s v="VTT"/>
    <s v="Medium"/>
    <n v="574.5"/>
    <n v="250"/>
    <n v="350"/>
    <n v="201075"/>
    <n v="16086"/>
    <n v="184989"/>
    <n v="149370"/>
    <n v="35619"/>
    <d v="2014-04-01T00:00:00"/>
    <x v="7"/>
    <x v="7"/>
    <n v="2014"/>
  </r>
  <r>
    <x v="0"/>
    <x v="2"/>
    <s v="VTT"/>
    <s v="Medium"/>
    <n v="381"/>
    <n v="250"/>
    <n v="350"/>
    <n v="133350"/>
    <n v="10668"/>
    <n v="122682"/>
    <n v="99060"/>
    <n v="23622"/>
    <d v="2014-08-01T00:00:00"/>
    <x v="8"/>
    <x v="8"/>
    <n v="2014"/>
  </r>
  <r>
    <x v="0"/>
    <x v="0"/>
    <s v="VTT"/>
    <s v="Medium"/>
    <n v="422"/>
    <n v="250"/>
    <n v="350"/>
    <n v="147700"/>
    <n v="11816"/>
    <n v="135884"/>
    <n v="109720"/>
    <n v="26164"/>
    <d v="2014-08-01T00:00:00"/>
    <x v="8"/>
    <x v="8"/>
    <n v="2014"/>
  </r>
  <r>
    <x v="0"/>
    <x v="2"/>
    <s v="Montana"/>
    <s v="Medium"/>
    <n v="1666"/>
    <n v="5"/>
    <n v="350"/>
    <n v="583100"/>
    <n v="52479"/>
    <n v="530621"/>
    <n v="433160"/>
    <n v="97461"/>
    <d v="2014-05-01T00:00:00"/>
    <x v="11"/>
    <x v="11"/>
    <n v="2014"/>
  </r>
  <r>
    <x v="0"/>
    <x v="3"/>
    <s v="Paseo"/>
    <s v="Medium"/>
    <n v="2417"/>
    <n v="10"/>
    <n v="350"/>
    <n v="845950"/>
    <n v="76135.5"/>
    <n v="769814.5"/>
    <n v="628420"/>
    <n v="141394.5"/>
    <d v="2014-01-01T00:00:00"/>
    <x v="10"/>
    <x v="10"/>
    <n v="2014"/>
  </r>
  <r>
    <x v="0"/>
    <x v="0"/>
    <s v="Velo"/>
    <s v="Medium"/>
    <n v="1307"/>
    <n v="120"/>
    <n v="350"/>
    <n v="457450"/>
    <n v="41170.5"/>
    <n v="416279.5"/>
    <n v="339820"/>
    <n v="76459.5"/>
    <d v="2014-07-01T00:00:00"/>
    <x v="9"/>
    <x v="9"/>
    <n v="2014"/>
  </r>
  <r>
    <x v="0"/>
    <x v="1"/>
    <s v="Velo"/>
    <s v="Medium"/>
    <n v="1269"/>
    <n v="120"/>
    <n v="350"/>
    <n v="444150"/>
    <n v="39973.5"/>
    <n v="404176.5"/>
    <n v="329940"/>
    <n v="74236.5"/>
    <d v="2014-10-01T00:00:00"/>
    <x v="6"/>
    <x v="6"/>
    <n v="2014"/>
  </r>
  <r>
    <x v="0"/>
    <x v="4"/>
    <s v="VTT"/>
    <s v="Medium"/>
    <n v="1351.5"/>
    <n v="250"/>
    <n v="350"/>
    <n v="473025"/>
    <n v="42572.25"/>
    <n v="430452.75"/>
    <n v="351390"/>
    <n v="79062.75"/>
    <d v="2014-04-01T00:00:00"/>
    <x v="7"/>
    <x v="7"/>
    <n v="2014"/>
  </r>
  <r>
    <x v="0"/>
    <x v="4"/>
    <s v="Amarilla"/>
    <s v="Medium"/>
    <n v="2071"/>
    <n v="260"/>
    <n v="350"/>
    <n v="724850"/>
    <n v="65236.5"/>
    <n v="659613.5"/>
    <n v="538460"/>
    <n v="121153.5"/>
    <d v="2014-09-01T00:00:00"/>
    <x v="3"/>
    <x v="3"/>
    <n v="2014"/>
  </r>
  <r>
    <x v="0"/>
    <x v="1"/>
    <s v="Amarilla"/>
    <s v="Medium"/>
    <n v="1269"/>
    <n v="260"/>
    <n v="350"/>
    <n v="444150"/>
    <n v="39973.5"/>
    <n v="404176.5"/>
    <n v="329940"/>
    <n v="74236.5"/>
    <d v="2014-10-01T00:00:00"/>
    <x v="6"/>
    <x v="6"/>
    <n v="2014"/>
  </r>
  <r>
    <x v="0"/>
    <x v="4"/>
    <s v="Montana"/>
    <s v="High"/>
    <n v="2313"/>
    <n v="5"/>
    <n v="350"/>
    <n v="809550"/>
    <n v="80955"/>
    <n v="728595"/>
    <n v="601380"/>
    <n v="127215"/>
    <d v="2014-05-01T00:00:00"/>
    <x v="11"/>
    <x v="11"/>
    <n v="2014"/>
  </r>
  <r>
    <x v="0"/>
    <x v="2"/>
    <s v="Velo"/>
    <s v="High"/>
    <n v="639"/>
    <n v="120"/>
    <n v="350"/>
    <n v="223650"/>
    <n v="22365"/>
    <n v="201285"/>
    <n v="166140"/>
    <n v="35145"/>
    <d v="2014-07-01T00:00:00"/>
    <x v="9"/>
    <x v="9"/>
    <n v="2014"/>
  </r>
  <r>
    <x v="0"/>
    <x v="4"/>
    <s v="VTT"/>
    <s v="High"/>
    <n v="2807"/>
    <n v="250"/>
    <n v="350"/>
    <n v="982450"/>
    <n v="98245"/>
    <n v="884205"/>
    <n v="729820"/>
    <n v="154385"/>
    <d v="2014-08-01T00:00:00"/>
    <x v="8"/>
    <x v="8"/>
    <n v="2014"/>
  </r>
  <r>
    <x v="0"/>
    <x v="0"/>
    <s v="VTT"/>
    <s v="High"/>
    <n v="1870"/>
    <n v="250"/>
    <n v="350"/>
    <n v="654500"/>
    <n v="65450"/>
    <n v="589050"/>
    <n v="486200"/>
    <n v="102850"/>
    <d v="2013-12-01T00:00:00"/>
    <x v="0"/>
    <x v="0"/>
    <n v="2013"/>
  </r>
  <r>
    <x v="0"/>
    <x v="1"/>
    <s v="Amarilla"/>
    <s v="High"/>
    <n v="2240"/>
    <n v="260"/>
    <n v="350"/>
    <n v="784000"/>
    <n v="78400"/>
    <n v="705600"/>
    <n v="582400"/>
    <n v="123200"/>
    <d v="2014-02-01T00:00:00"/>
    <x v="4"/>
    <x v="4"/>
    <n v="2014"/>
  </r>
  <r>
    <x v="0"/>
    <x v="1"/>
    <s v="Amarilla"/>
    <s v="High"/>
    <n v="707"/>
    <n v="260"/>
    <n v="350"/>
    <n v="247450"/>
    <n v="24745"/>
    <n v="222705"/>
    <n v="183820"/>
    <n v="38885"/>
    <d v="2014-09-01T00:00:00"/>
    <x v="3"/>
    <x v="3"/>
    <n v="2014"/>
  </r>
  <r>
    <x v="0"/>
    <x v="0"/>
    <s v="Carretera"/>
    <s v="High"/>
    <n v="792"/>
    <n v="3"/>
    <n v="350"/>
    <n v="277200"/>
    <n v="30492"/>
    <n v="246708"/>
    <n v="205920"/>
    <n v="40788"/>
    <d v="2014-03-01T00:00:00"/>
    <x v="5"/>
    <x v="5"/>
    <n v="2014"/>
  </r>
  <r>
    <x v="0"/>
    <x v="0"/>
    <s v="Montana"/>
    <s v="High"/>
    <n v="766"/>
    <n v="5"/>
    <n v="350"/>
    <n v="268100"/>
    <n v="29491"/>
    <n v="238609"/>
    <n v="199160"/>
    <n v="39449"/>
    <d v="2014-01-01T00:00:00"/>
    <x v="10"/>
    <x v="10"/>
    <n v="2014"/>
  </r>
  <r>
    <x v="0"/>
    <x v="1"/>
    <s v="Paseo"/>
    <s v="High"/>
    <n v="2104.5"/>
    <n v="10"/>
    <n v="350"/>
    <n v="736575"/>
    <n v="81023.25"/>
    <n v="655551.75"/>
    <n v="547170"/>
    <n v="108381.75"/>
    <d v="2014-07-01T00:00:00"/>
    <x v="9"/>
    <x v="9"/>
    <n v="2014"/>
  </r>
  <r>
    <x v="0"/>
    <x v="3"/>
    <s v="Velo"/>
    <s v="High"/>
    <n v="344"/>
    <n v="120"/>
    <n v="350"/>
    <n v="120400"/>
    <n v="13244"/>
    <n v="107156"/>
    <n v="89440"/>
    <n v="17716"/>
    <d v="2013-10-01T00:00:00"/>
    <x v="6"/>
    <x v="6"/>
    <n v="2013"/>
  </r>
  <r>
    <x v="0"/>
    <x v="3"/>
    <s v="Amarilla"/>
    <s v="High"/>
    <n v="344"/>
    <n v="260"/>
    <n v="350"/>
    <n v="120400"/>
    <n v="13244"/>
    <n v="107156"/>
    <n v="89440"/>
    <n v="17716"/>
    <d v="2013-10-01T00:00:00"/>
    <x v="6"/>
    <x v="6"/>
    <n v="2013"/>
  </r>
  <r>
    <x v="0"/>
    <x v="3"/>
    <s v="Carretera"/>
    <s v="High"/>
    <n v="886"/>
    <n v="3"/>
    <n v="350"/>
    <n v="310100"/>
    <n v="37212"/>
    <n v="272888"/>
    <n v="230360"/>
    <n v="42528"/>
    <d v="2014-06-01T00:00:00"/>
    <x v="1"/>
    <x v="1"/>
    <n v="2014"/>
  </r>
  <r>
    <x v="0"/>
    <x v="3"/>
    <s v="Paseo"/>
    <s v="High"/>
    <n v="886"/>
    <n v="10"/>
    <n v="350"/>
    <n v="310100"/>
    <n v="37212"/>
    <n v="272888"/>
    <n v="230360"/>
    <n v="42528"/>
    <d v="2014-06-01T00:00:00"/>
    <x v="1"/>
    <x v="1"/>
    <n v="2014"/>
  </r>
  <r>
    <x v="0"/>
    <x v="2"/>
    <s v="Paseo"/>
    <s v="High"/>
    <n v="1594"/>
    <n v="10"/>
    <n v="350"/>
    <n v="557900"/>
    <n v="66948"/>
    <n v="490952"/>
    <n v="414440"/>
    <n v="76512"/>
    <d v="2014-11-01T00:00:00"/>
    <x v="2"/>
    <x v="2"/>
    <n v="2014"/>
  </r>
  <r>
    <x v="0"/>
    <x v="3"/>
    <s v="Paseo"/>
    <s v="High"/>
    <n v="1197"/>
    <n v="10"/>
    <n v="350"/>
    <n v="418950"/>
    <n v="50274"/>
    <n v="368676"/>
    <n v="311220"/>
    <n v="57456"/>
    <d v="2014-11-01T00:00:00"/>
    <x v="2"/>
    <x v="2"/>
    <n v="2014"/>
  </r>
  <r>
    <x v="0"/>
    <x v="3"/>
    <s v="Velo"/>
    <s v="High"/>
    <n v="1395"/>
    <n v="120"/>
    <n v="350"/>
    <n v="488250"/>
    <n v="58590"/>
    <n v="429660"/>
    <n v="362700"/>
    <n v="66960"/>
    <d v="2014-07-01T00:00:00"/>
    <x v="9"/>
    <x v="9"/>
    <n v="2014"/>
  </r>
  <r>
    <x v="0"/>
    <x v="4"/>
    <s v="Velo"/>
    <s v="High"/>
    <n v="986"/>
    <n v="120"/>
    <n v="350"/>
    <n v="345100"/>
    <n v="41412"/>
    <n v="303688"/>
    <n v="256360"/>
    <n v="47328"/>
    <d v="2014-10-01T00:00:00"/>
    <x v="6"/>
    <x v="6"/>
    <n v="2014"/>
  </r>
  <r>
    <x v="0"/>
    <x v="1"/>
    <s v="VTT"/>
    <s v="High"/>
    <n v="623"/>
    <n v="250"/>
    <n v="350"/>
    <n v="218050"/>
    <n v="26166"/>
    <n v="191884"/>
    <n v="161980"/>
    <n v="29904"/>
    <d v="2013-09-01T00:00:00"/>
    <x v="3"/>
    <x v="3"/>
    <n v="2013"/>
  </r>
  <r>
    <x v="0"/>
    <x v="4"/>
    <s v="VTT"/>
    <s v="High"/>
    <n v="986"/>
    <n v="250"/>
    <n v="350"/>
    <n v="345100"/>
    <n v="41412"/>
    <n v="303688"/>
    <n v="256360"/>
    <n v="47328"/>
    <d v="2014-10-01T00:00:00"/>
    <x v="6"/>
    <x v="6"/>
    <n v="2014"/>
  </r>
  <r>
    <x v="0"/>
    <x v="4"/>
    <s v="Amarilla"/>
    <s v="High"/>
    <n v="270"/>
    <n v="260"/>
    <n v="350"/>
    <n v="94500"/>
    <n v="11340"/>
    <n v="83160"/>
    <n v="70200"/>
    <n v="12960"/>
    <d v="2014-02-01T00:00:00"/>
    <x v="4"/>
    <x v="4"/>
    <n v="2014"/>
  </r>
  <r>
    <x v="0"/>
    <x v="1"/>
    <s v="Carretera"/>
    <s v="High"/>
    <n v="923"/>
    <n v="3"/>
    <n v="350"/>
    <n v="323050"/>
    <n v="41996.5"/>
    <n v="281053.5"/>
    <n v="239980"/>
    <n v="41073.5"/>
    <d v="2014-03-01T00:00:00"/>
    <x v="5"/>
    <x v="5"/>
    <n v="2014"/>
  </r>
  <r>
    <x v="0"/>
    <x v="2"/>
    <s v="Carretera"/>
    <s v="High"/>
    <n v="1790"/>
    <n v="3"/>
    <n v="350"/>
    <n v="626500"/>
    <n v="81445"/>
    <n v="545055"/>
    <n v="465400"/>
    <n v="79655"/>
    <d v="2014-03-01T00:00:00"/>
    <x v="5"/>
    <x v="5"/>
    <n v="2014"/>
  </r>
  <r>
    <x v="0"/>
    <x v="4"/>
    <s v="Montana"/>
    <s v="High"/>
    <n v="982.5"/>
    <n v="5"/>
    <n v="350"/>
    <n v="343875"/>
    <n v="44703.75"/>
    <n v="299171.25"/>
    <n v="255450"/>
    <n v="43721.25"/>
    <d v="2014-01-01T00:00:00"/>
    <x v="10"/>
    <x v="10"/>
    <n v="2014"/>
  </r>
  <r>
    <x v="0"/>
    <x v="1"/>
    <s v="Paseo"/>
    <s v="High"/>
    <n v="2632"/>
    <n v="10"/>
    <n v="350"/>
    <n v="921200"/>
    <n v="119756"/>
    <n v="801444"/>
    <n v="684320"/>
    <n v="117124"/>
    <d v="2014-06-01T00:00:00"/>
    <x v="1"/>
    <x v="1"/>
    <n v="2014"/>
  </r>
  <r>
    <x v="0"/>
    <x v="0"/>
    <s v="Paseo"/>
    <s v="High"/>
    <n v="357"/>
    <n v="10"/>
    <n v="350"/>
    <n v="124950"/>
    <n v="16243.5"/>
    <n v="108706.5"/>
    <n v="92820"/>
    <n v="15886.5"/>
    <d v="2014-11-01T00:00:00"/>
    <x v="2"/>
    <x v="2"/>
    <n v="2014"/>
  </r>
  <r>
    <x v="0"/>
    <x v="1"/>
    <s v="Velo"/>
    <s v="High"/>
    <n v="2632"/>
    <n v="120"/>
    <n v="350"/>
    <n v="921200"/>
    <n v="119756"/>
    <n v="801444"/>
    <n v="684320"/>
    <n v="117124"/>
    <d v="2014-06-01T00:00:00"/>
    <x v="1"/>
    <x v="1"/>
    <n v="2014"/>
  </r>
  <r>
    <x v="0"/>
    <x v="1"/>
    <s v="Montana"/>
    <s v="High"/>
    <n v="2227.5"/>
    <n v="5"/>
    <n v="350"/>
    <n v="779625"/>
    <n v="109147.5"/>
    <n v="670477.5"/>
    <n v="579150"/>
    <n v="91327.5"/>
    <d v="2014-01-01T00:00:00"/>
    <x v="10"/>
    <x v="10"/>
    <n v="2014"/>
  </r>
  <r>
    <x v="0"/>
    <x v="0"/>
    <s v="Montana"/>
    <s v="High"/>
    <n v="1199"/>
    <n v="5"/>
    <n v="350"/>
    <n v="419650"/>
    <n v="58751"/>
    <n v="360899"/>
    <n v="311740"/>
    <n v="49159"/>
    <d v="2014-04-01T00:00:00"/>
    <x v="7"/>
    <x v="7"/>
    <n v="2014"/>
  </r>
  <r>
    <x v="0"/>
    <x v="1"/>
    <s v="Montana"/>
    <s v="High"/>
    <n v="200"/>
    <n v="5"/>
    <n v="350"/>
    <n v="70000"/>
    <n v="9800"/>
    <n v="60200"/>
    <n v="52000"/>
    <n v="8200"/>
    <d v="2014-05-01T00:00:00"/>
    <x v="11"/>
    <x v="11"/>
    <n v="2014"/>
  </r>
  <r>
    <x v="0"/>
    <x v="1"/>
    <s v="Paseo"/>
    <s v="High"/>
    <n v="700"/>
    <n v="10"/>
    <n v="350"/>
    <n v="245000"/>
    <n v="34300"/>
    <n v="210700"/>
    <n v="182000"/>
    <n v="28700"/>
    <d v="2014-11-01T00:00:00"/>
    <x v="2"/>
    <x v="2"/>
    <n v="2014"/>
  </r>
  <r>
    <x v="0"/>
    <x v="4"/>
    <s v="Paseo"/>
    <s v="High"/>
    <n v="1177"/>
    <n v="10"/>
    <n v="350"/>
    <n v="411950"/>
    <n v="57673"/>
    <n v="354277"/>
    <n v="306020"/>
    <n v="48257"/>
    <d v="2014-11-01T00:00:00"/>
    <x v="2"/>
    <x v="2"/>
    <n v="2014"/>
  </r>
  <r>
    <x v="0"/>
    <x v="2"/>
    <s v="Paseo"/>
    <s v="High"/>
    <n v="1922"/>
    <n v="10"/>
    <n v="350"/>
    <n v="672700"/>
    <n v="94178"/>
    <n v="578522"/>
    <n v="499720"/>
    <n v="78802"/>
    <d v="2013-11-01T00:00:00"/>
    <x v="2"/>
    <x v="2"/>
    <n v="2013"/>
  </r>
  <r>
    <x v="0"/>
    <x v="2"/>
    <s v="VTT"/>
    <s v="High"/>
    <n v="1281"/>
    <n v="250"/>
    <n v="350"/>
    <n v="448350"/>
    <n v="62769"/>
    <n v="385581"/>
    <n v="333060"/>
    <n v="52521"/>
    <d v="2013-12-01T00:00:00"/>
    <x v="0"/>
    <x v="0"/>
    <n v="2013"/>
  </r>
  <r>
    <x v="0"/>
    <x v="3"/>
    <s v="Paseo"/>
    <s v="High"/>
    <n v="2851"/>
    <n v="10"/>
    <n v="350"/>
    <n v="997850"/>
    <n v="149677.5"/>
    <n v="848172.5"/>
    <n v="741260"/>
    <n v="106912.5"/>
    <d v="2014-05-01T00:00:00"/>
    <x v="11"/>
    <x v="11"/>
    <n v="2014"/>
  </r>
  <r>
    <x v="0"/>
    <x v="4"/>
    <s v="Paseo"/>
    <s v="High"/>
    <n v="2007"/>
    <n v="10"/>
    <n v="350"/>
    <n v="702450"/>
    <n v="105367.5"/>
    <n v="597082.5"/>
    <n v="521820"/>
    <n v="75262.5"/>
    <d v="2013-11-01T00:00:00"/>
    <x v="2"/>
    <x v="2"/>
    <n v="2013"/>
  </r>
  <r>
    <x v="0"/>
    <x v="3"/>
    <s v="Paseo"/>
    <s v="High"/>
    <n v="2151"/>
    <n v="10"/>
    <n v="350"/>
    <n v="752850"/>
    <n v="112927.5"/>
    <n v="639922.5"/>
    <n v="559260"/>
    <n v="80662.5"/>
    <d v="2013-11-01T00:00:00"/>
    <x v="2"/>
    <x v="2"/>
    <n v="2013"/>
  </r>
  <r>
    <x v="0"/>
    <x v="1"/>
    <s v="Carretera"/>
    <s v="None"/>
    <n v="1618.5"/>
    <n v="3"/>
    <n v="20"/>
    <n v="32370"/>
    <n v="0"/>
    <n v="32370"/>
    <n v="16185"/>
    <n v="16185"/>
    <d v="2014-01-01T00:00:00"/>
    <x v="10"/>
    <x v="10"/>
    <n v="2014"/>
  </r>
  <r>
    <x v="0"/>
    <x v="0"/>
    <s v="Carretera"/>
    <s v="None"/>
    <n v="1321"/>
    <n v="3"/>
    <n v="20"/>
    <n v="26420"/>
    <n v="0"/>
    <n v="26420"/>
    <n v="13210"/>
    <n v="13210"/>
    <d v="2014-01-01T00:00:00"/>
    <x v="10"/>
    <x v="10"/>
    <n v="2014"/>
  </r>
  <r>
    <x v="0"/>
    <x v="2"/>
    <s v="Montana"/>
    <s v="None"/>
    <n v="1899"/>
    <n v="5"/>
    <n v="20"/>
    <n v="37980"/>
    <n v="0"/>
    <n v="37980"/>
    <n v="18990"/>
    <n v="18990"/>
    <d v="2014-06-01T00:00:00"/>
    <x v="1"/>
    <x v="1"/>
    <n v="2014"/>
  </r>
  <r>
    <x v="0"/>
    <x v="1"/>
    <s v="Paseo"/>
    <s v="None"/>
    <n v="292"/>
    <n v="10"/>
    <n v="20"/>
    <n v="5840"/>
    <n v="0"/>
    <n v="5840"/>
    <n v="2920"/>
    <n v="2920"/>
    <d v="2014-02-01T00:00:00"/>
    <x v="4"/>
    <x v="4"/>
    <n v="2014"/>
  </r>
  <r>
    <x v="0"/>
    <x v="1"/>
    <s v="Paseo"/>
    <s v="None"/>
    <n v="1817"/>
    <n v="10"/>
    <n v="20"/>
    <n v="36340"/>
    <n v="0"/>
    <n v="36340"/>
    <n v="18170"/>
    <n v="18170"/>
    <d v="2014-12-01T00:00:00"/>
    <x v="0"/>
    <x v="0"/>
    <n v="2014"/>
  </r>
  <r>
    <x v="0"/>
    <x v="1"/>
    <s v="VTT"/>
    <s v="None"/>
    <n v="1817"/>
    <n v="250"/>
    <n v="20"/>
    <n v="36340"/>
    <n v="0"/>
    <n v="36340"/>
    <n v="18170"/>
    <n v="18170"/>
    <d v="2014-12-01T00:00:00"/>
    <x v="0"/>
    <x v="0"/>
    <n v="2014"/>
  </r>
  <r>
    <x v="0"/>
    <x v="2"/>
    <s v="Amarilla"/>
    <s v="None"/>
    <n v="1899"/>
    <n v="260"/>
    <n v="20"/>
    <n v="37980"/>
    <n v="0"/>
    <n v="37980"/>
    <n v="18990"/>
    <n v="18990"/>
    <d v="2014-06-01T00:00:00"/>
    <x v="1"/>
    <x v="1"/>
    <n v="2014"/>
  </r>
  <r>
    <x v="0"/>
    <x v="2"/>
    <s v="Montana"/>
    <s v="Low"/>
    <n v="1375.5"/>
    <n v="5"/>
    <n v="20"/>
    <n v="27510"/>
    <n v="275.10000000000002"/>
    <n v="27234.9"/>
    <n v="13755"/>
    <n v="13479.9"/>
    <d v="2014-07-01T00:00:00"/>
    <x v="9"/>
    <x v="9"/>
    <n v="2014"/>
  </r>
  <r>
    <x v="0"/>
    <x v="2"/>
    <s v="Velo"/>
    <s v="Low"/>
    <n v="3864"/>
    <n v="120"/>
    <n v="20"/>
    <n v="77280"/>
    <n v="772.8"/>
    <n v="76507.199999999997"/>
    <n v="38640"/>
    <n v="37867.199999999997"/>
    <d v="2014-04-01T00:00:00"/>
    <x v="7"/>
    <x v="7"/>
    <n v="2014"/>
  </r>
  <r>
    <x v="0"/>
    <x v="4"/>
    <s v="Montana"/>
    <s v="Low"/>
    <n v="1566"/>
    <n v="5"/>
    <n v="20"/>
    <n v="31320"/>
    <n v="626.4"/>
    <n v="30693.599999999999"/>
    <n v="15660"/>
    <n v="15033.6"/>
    <d v="2014-10-01T00:00:00"/>
    <x v="6"/>
    <x v="6"/>
    <n v="2014"/>
  </r>
  <r>
    <x v="0"/>
    <x v="4"/>
    <s v="Velo"/>
    <s v="Low"/>
    <n v="1566"/>
    <n v="120"/>
    <n v="20"/>
    <n v="31320"/>
    <n v="626.4"/>
    <n v="30693.599999999999"/>
    <n v="15660"/>
    <n v="15033.6"/>
    <d v="2014-10-01T00:00:00"/>
    <x v="6"/>
    <x v="6"/>
    <n v="2014"/>
  </r>
  <r>
    <x v="0"/>
    <x v="3"/>
    <s v="Velo"/>
    <s v="Low"/>
    <n v="544"/>
    <n v="120"/>
    <n v="20"/>
    <n v="10880"/>
    <n v="217.6"/>
    <n v="10662.4"/>
    <n v="5440"/>
    <n v="5222.3999999999996"/>
    <d v="2013-12-01T00:00:00"/>
    <x v="0"/>
    <x v="0"/>
    <n v="2013"/>
  </r>
  <r>
    <x v="0"/>
    <x v="4"/>
    <s v="Amarilla"/>
    <s v="Low"/>
    <n v="1236"/>
    <n v="260"/>
    <n v="20"/>
    <n v="24720"/>
    <n v="494.4"/>
    <n v="24225.599999999999"/>
    <n v="12360"/>
    <n v="11865.6"/>
    <d v="2014-11-01T00:00:00"/>
    <x v="2"/>
    <x v="2"/>
    <n v="2014"/>
  </r>
  <r>
    <x v="0"/>
    <x v="2"/>
    <s v="Amarilla"/>
    <s v="Low"/>
    <n v="941"/>
    <n v="260"/>
    <n v="20"/>
    <n v="18820"/>
    <n v="376.4"/>
    <n v="18443.599999999999"/>
    <n v="9410"/>
    <n v="9033.6"/>
    <d v="2014-11-01T00:00:00"/>
    <x v="2"/>
    <x v="2"/>
    <n v="2014"/>
  </r>
  <r>
    <x v="0"/>
    <x v="0"/>
    <s v="Carretera"/>
    <s v="Low"/>
    <n v="2580"/>
    <n v="3"/>
    <n v="20"/>
    <n v="51600"/>
    <n v="1548"/>
    <n v="50052"/>
    <n v="25800"/>
    <n v="24252"/>
    <d v="2014-04-01T00:00:00"/>
    <x v="7"/>
    <x v="7"/>
    <n v="2014"/>
  </r>
  <r>
    <x v="0"/>
    <x v="1"/>
    <s v="Carretera"/>
    <s v="Low"/>
    <n v="831"/>
    <n v="3"/>
    <n v="20"/>
    <n v="16620"/>
    <n v="498.6"/>
    <n v="16121.4"/>
    <n v="8310"/>
    <n v="7811.4"/>
    <d v="2014-05-01T00:00:00"/>
    <x v="11"/>
    <x v="11"/>
    <n v="2014"/>
  </r>
  <r>
    <x v="0"/>
    <x v="1"/>
    <s v="Velo"/>
    <s v="Low"/>
    <n v="3850.5"/>
    <n v="120"/>
    <n v="20"/>
    <n v="77010"/>
    <n v="2310.3000000000002"/>
    <n v="74699.7"/>
    <n v="38505"/>
    <n v="36194.699999999997"/>
    <d v="2014-04-01T00:00:00"/>
    <x v="7"/>
    <x v="7"/>
    <n v="2014"/>
  </r>
  <r>
    <x v="0"/>
    <x v="4"/>
    <s v="Velo"/>
    <s v="Low"/>
    <n v="736"/>
    <n v="120"/>
    <n v="20"/>
    <n v="14720"/>
    <n v="588.79999999999995"/>
    <n v="14131.2"/>
    <n v="7360"/>
    <n v="6771.2"/>
    <d v="2013-09-01T00:00:00"/>
    <x v="3"/>
    <x v="3"/>
    <n v="2013"/>
  </r>
  <r>
    <x v="0"/>
    <x v="1"/>
    <s v="Paseo"/>
    <s v="Low"/>
    <n v="2074"/>
    <n v="10"/>
    <n v="20"/>
    <n v="41480"/>
    <n v="1659.2"/>
    <n v="39820.800000000003"/>
    <n v="20740"/>
    <n v="19080.8"/>
    <d v="2014-09-01T00:00:00"/>
    <x v="3"/>
    <x v="3"/>
    <n v="2014"/>
  </r>
  <r>
    <x v="0"/>
    <x v="4"/>
    <s v="Paseo"/>
    <s v="Low"/>
    <n v="1056"/>
    <n v="10"/>
    <n v="20"/>
    <n v="21120"/>
    <n v="844.8"/>
    <n v="20275.2"/>
    <n v="10560"/>
    <n v="9715.2000000000007"/>
    <d v="2014-09-01T00:00:00"/>
    <x v="3"/>
    <x v="3"/>
    <n v="2014"/>
  </r>
  <r>
    <x v="0"/>
    <x v="1"/>
    <s v="Velo"/>
    <s v="Low"/>
    <n v="2646"/>
    <n v="120"/>
    <n v="20"/>
    <n v="52920"/>
    <n v="2116.8000000000002"/>
    <n v="50803.199999999997"/>
    <n v="26460"/>
    <n v="24343.200000000001"/>
    <d v="2013-09-01T00:00:00"/>
    <x v="3"/>
    <x v="3"/>
    <n v="2013"/>
  </r>
  <r>
    <x v="0"/>
    <x v="2"/>
    <s v="Carretera"/>
    <s v="Medium"/>
    <n v="1563"/>
    <n v="3"/>
    <n v="20"/>
    <n v="31260"/>
    <n v="1563"/>
    <n v="29697"/>
    <n v="15630"/>
    <n v="14067"/>
    <d v="2014-05-01T00:00:00"/>
    <x v="11"/>
    <x v="11"/>
    <n v="2014"/>
  </r>
  <r>
    <x v="0"/>
    <x v="2"/>
    <s v="Paseo"/>
    <s v="Medium"/>
    <n v="1303"/>
    <n v="10"/>
    <n v="20"/>
    <n v="26060"/>
    <n v="1303"/>
    <n v="24757"/>
    <n v="13030"/>
    <n v="11727"/>
    <d v="2014-02-01T00:00:00"/>
    <x v="4"/>
    <x v="4"/>
    <n v="2014"/>
  </r>
  <r>
    <x v="0"/>
    <x v="1"/>
    <s v="Paseo"/>
    <s v="Medium"/>
    <n v="1389"/>
    <n v="10"/>
    <n v="20"/>
    <n v="27780"/>
    <n v="1389"/>
    <n v="26391"/>
    <n v="13890"/>
    <n v="12501"/>
    <d v="2013-10-01T00:00:00"/>
    <x v="6"/>
    <x v="6"/>
    <n v="2013"/>
  </r>
  <r>
    <x v="0"/>
    <x v="1"/>
    <s v="Paseo"/>
    <s v="Medium"/>
    <n v="1802"/>
    <n v="10"/>
    <n v="20"/>
    <n v="36040"/>
    <n v="1802"/>
    <n v="34238"/>
    <n v="18020"/>
    <n v="16218"/>
    <d v="2013-12-01T00:00:00"/>
    <x v="0"/>
    <x v="0"/>
    <n v="2013"/>
  </r>
  <r>
    <x v="0"/>
    <x v="4"/>
    <s v="Paseo"/>
    <s v="Medium"/>
    <n v="2663"/>
    <n v="10"/>
    <n v="20"/>
    <n v="53260"/>
    <n v="2663"/>
    <n v="50597"/>
    <n v="26630"/>
    <n v="23967"/>
    <d v="2014-12-01T00:00:00"/>
    <x v="0"/>
    <x v="0"/>
    <n v="2014"/>
  </r>
  <r>
    <x v="0"/>
    <x v="4"/>
    <s v="Velo"/>
    <s v="Medium"/>
    <n v="2832"/>
    <n v="120"/>
    <n v="20"/>
    <n v="56640"/>
    <n v="2832"/>
    <n v="53808"/>
    <n v="28320"/>
    <n v="25488"/>
    <d v="2014-08-01T00:00:00"/>
    <x v="8"/>
    <x v="8"/>
    <n v="2014"/>
  </r>
  <r>
    <x v="0"/>
    <x v="2"/>
    <s v="Velo"/>
    <s v="Medium"/>
    <n v="1579"/>
    <n v="120"/>
    <n v="20"/>
    <n v="31580"/>
    <n v="1579"/>
    <n v="30001"/>
    <n v="15790"/>
    <n v="14211"/>
    <d v="2014-08-01T00:00:00"/>
    <x v="8"/>
    <x v="8"/>
    <n v="2014"/>
  </r>
  <r>
    <x v="0"/>
    <x v="2"/>
    <s v="Velo"/>
    <s v="Medium"/>
    <n v="1033"/>
    <n v="120"/>
    <n v="20"/>
    <n v="20660"/>
    <n v="1033"/>
    <n v="19627"/>
    <n v="10330"/>
    <n v="9297"/>
    <d v="2013-12-01T00:00:00"/>
    <x v="0"/>
    <x v="0"/>
    <n v="2013"/>
  </r>
  <r>
    <x v="0"/>
    <x v="1"/>
    <s v="VTT"/>
    <s v="Medium"/>
    <n v="1389"/>
    <n v="250"/>
    <n v="20"/>
    <n v="27780"/>
    <n v="1389"/>
    <n v="26391"/>
    <n v="13890"/>
    <n v="12501"/>
    <d v="2013-10-01T00:00:00"/>
    <x v="6"/>
    <x v="6"/>
    <n v="2013"/>
  </r>
  <r>
    <x v="0"/>
    <x v="4"/>
    <s v="VTT"/>
    <s v="Medium"/>
    <n v="1265"/>
    <n v="250"/>
    <n v="20"/>
    <n v="25300"/>
    <n v="1265"/>
    <n v="24035"/>
    <n v="12650"/>
    <n v="11385"/>
    <d v="2013-11-01T00:00:00"/>
    <x v="2"/>
    <x v="2"/>
    <n v="2013"/>
  </r>
  <r>
    <x v="0"/>
    <x v="0"/>
    <s v="VTT"/>
    <s v="Medium"/>
    <n v="2297"/>
    <n v="250"/>
    <n v="20"/>
    <n v="45940"/>
    <n v="2297"/>
    <n v="43643"/>
    <n v="22970"/>
    <n v="20673"/>
    <d v="2013-11-01T00:00:00"/>
    <x v="2"/>
    <x v="2"/>
    <n v="2013"/>
  </r>
  <r>
    <x v="0"/>
    <x v="4"/>
    <s v="VTT"/>
    <s v="Medium"/>
    <n v="2663"/>
    <n v="250"/>
    <n v="20"/>
    <n v="53260"/>
    <n v="2663"/>
    <n v="50597"/>
    <n v="26630"/>
    <n v="23967"/>
    <d v="2014-12-01T00:00:00"/>
    <x v="0"/>
    <x v="0"/>
    <n v="2014"/>
  </r>
  <r>
    <x v="0"/>
    <x v="4"/>
    <s v="Carretera"/>
    <s v="Medium"/>
    <n v="1117.5"/>
    <n v="3"/>
    <n v="20"/>
    <n v="22350"/>
    <n v="1341"/>
    <n v="21009"/>
    <n v="11175"/>
    <n v="9834"/>
    <d v="2014-01-01T00:00:00"/>
    <x v="10"/>
    <x v="10"/>
    <n v="2014"/>
  </r>
  <r>
    <x v="0"/>
    <x v="3"/>
    <s v="VTT"/>
    <s v="Medium"/>
    <n v="1123"/>
    <n v="250"/>
    <n v="20"/>
    <n v="22460"/>
    <n v="1347.6"/>
    <n v="21112.400000000001"/>
    <n v="11230"/>
    <n v="9882.4"/>
    <d v="2013-11-01T00:00:00"/>
    <x v="2"/>
    <x v="2"/>
    <n v="2013"/>
  </r>
  <r>
    <x v="0"/>
    <x v="2"/>
    <s v="Montana"/>
    <s v="Medium"/>
    <n v="1757"/>
    <n v="5"/>
    <n v="20"/>
    <n v="35140"/>
    <n v="2108.4"/>
    <n v="33031.599999999999"/>
    <n v="17570"/>
    <n v="15461.6"/>
    <d v="2013-10-01T00:00:00"/>
    <x v="6"/>
    <x v="6"/>
    <n v="2013"/>
  </r>
  <r>
    <x v="0"/>
    <x v="2"/>
    <s v="Paseo"/>
    <s v="Medium"/>
    <n v="1757"/>
    <n v="10"/>
    <n v="20"/>
    <n v="35140"/>
    <n v="2108.4"/>
    <n v="33031.599999999999"/>
    <n v="17570"/>
    <n v="15461.6"/>
    <d v="2013-10-01T00:00:00"/>
    <x v="6"/>
    <x v="6"/>
    <n v="2013"/>
  </r>
  <r>
    <x v="0"/>
    <x v="0"/>
    <s v="Velo"/>
    <s v="Medium"/>
    <n v="1001"/>
    <n v="120"/>
    <n v="20"/>
    <n v="20020"/>
    <n v="1201.2"/>
    <n v="18818.8"/>
    <n v="10010"/>
    <n v="8808.7999999999993"/>
    <d v="2014-08-01T00:00:00"/>
    <x v="8"/>
    <x v="8"/>
    <n v="2014"/>
  </r>
  <r>
    <x v="0"/>
    <x v="3"/>
    <s v="Carretera"/>
    <s v="Medium"/>
    <n v="1834"/>
    <n v="3"/>
    <n v="20"/>
    <n v="36680"/>
    <n v="2567.6"/>
    <n v="34112.400000000001"/>
    <n v="18340"/>
    <n v="15772.4"/>
    <d v="2013-09-01T00:00:00"/>
    <x v="3"/>
    <x v="3"/>
    <n v="2013"/>
  </r>
  <r>
    <x v="0"/>
    <x v="2"/>
    <s v="Montana"/>
    <s v="Medium"/>
    <n v="1976"/>
    <n v="5"/>
    <n v="20"/>
    <n v="39520"/>
    <n v="2766.4"/>
    <n v="36753.599999999999"/>
    <n v="19760"/>
    <n v="16993.599999999999"/>
    <d v="2014-10-01T00:00:00"/>
    <x v="6"/>
    <x v="6"/>
    <n v="2014"/>
  </r>
  <r>
    <x v="0"/>
    <x v="2"/>
    <s v="Paseo"/>
    <s v="Medium"/>
    <n v="1535"/>
    <n v="10"/>
    <n v="20"/>
    <n v="30700"/>
    <n v="2149"/>
    <n v="28551"/>
    <n v="15350"/>
    <n v="13201"/>
    <d v="2014-09-01T00:00:00"/>
    <x v="3"/>
    <x v="3"/>
    <n v="2014"/>
  </r>
  <r>
    <x v="0"/>
    <x v="3"/>
    <s v="Velo"/>
    <s v="Medium"/>
    <n v="609"/>
    <n v="120"/>
    <n v="20"/>
    <n v="12180"/>
    <n v="852.6"/>
    <n v="11327.4"/>
    <n v="6090"/>
    <n v="5237.3999999999996"/>
    <d v="2014-08-01T00:00:00"/>
    <x v="8"/>
    <x v="8"/>
    <n v="2014"/>
  </r>
  <r>
    <x v="0"/>
    <x v="2"/>
    <s v="Velo"/>
    <s v="Medium"/>
    <n v="1976"/>
    <n v="120"/>
    <n v="20"/>
    <n v="39520"/>
    <n v="2766.4"/>
    <n v="36753.599999999999"/>
    <n v="19760"/>
    <n v="16993.599999999999"/>
    <d v="2014-10-01T00:00:00"/>
    <x v="6"/>
    <x v="6"/>
    <n v="2014"/>
  </r>
  <r>
    <x v="0"/>
    <x v="4"/>
    <s v="Velo"/>
    <s v="Medium"/>
    <n v="1421"/>
    <n v="120"/>
    <n v="20"/>
    <n v="28420"/>
    <n v="1989.4"/>
    <n v="26430.6"/>
    <n v="14210"/>
    <n v="12220.6"/>
    <d v="2013-12-01T00:00:00"/>
    <x v="0"/>
    <x v="0"/>
    <n v="2013"/>
  </r>
  <r>
    <x v="0"/>
    <x v="0"/>
    <s v="Velo"/>
    <s v="Medium"/>
    <n v="588"/>
    <n v="120"/>
    <n v="20"/>
    <n v="11760"/>
    <n v="823.2"/>
    <n v="10936.8"/>
    <n v="5880"/>
    <n v="5056.8"/>
    <d v="2013-12-01T00:00:00"/>
    <x v="0"/>
    <x v="0"/>
    <n v="2013"/>
  </r>
  <r>
    <x v="0"/>
    <x v="1"/>
    <s v="Amarilla"/>
    <s v="Medium"/>
    <n v="1118"/>
    <n v="260"/>
    <n v="20"/>
    <n v="22360"/>
    <n v="1565.2"/>
    <n v="20794.8"/>
    <n v="11180"/>
    <n v="9614.7999999999993"/>
    <d v="2014-11-01T00:00:00"/>
    <x v="2"/>
    <x v="2"/>
    <n v="2014"/>
  </r>
  <r>
    <x v="0"/>
    <x v="4"/>
    <s v="Montana"/>
    <s v="Medium"/>
    <n v="1282"/>
    <n v="5"/>
    <n v="20"/>
    <n v="25640"/>
    <n v="2051.1999999999998"/>
    <n v="23588.799999999999"/>
    <n v="12820"/>
    <n v="10768.8"/>
    <d v="2014-06-01T00:00:00"/>
    <x v="1"/>
    <x v="1"/>
    <n v="2014"/>
  </r>
  <r>
    <x v="0"/>
    <x v="4"/>
    <s v="Amarilla"/>
    <s v="Medium"/>
    <n v="1282"/>
    <n v="260"/>
    <n v="20"/>
    <n v="25640"/>
    <n v="2051.1999999999998"/>
    <n v="23588.799999999999"/>
    <n v="12820"/>
    <n v="10768.8"/>
    <d v="2014-06-01T00:00:00"/>
    <x v="1"/>
    <x v="1"/>
    <n v="2014"/>
  </r>
  <r>
    <x v="0"/>
    <x v="1"/>
    <s v="Montana"/>
    <s v="Medium"/>
    <n v="708"/>
    <n v="5"/>
    <n v="20"/>
    <n v="14160"/>
    <n v="1132.8"/>
    <n v="13027.2"/>
    <n v="7080"/>
    <n v="5947.2"/>
    <d v="2014-06-01T00:00:00"/>
    <x v="1"/>
    <x v="1"/>
    <n v="2014"/>
  </r>
  <r>
    <x v="0"/>
    <x v="0"/>
    <s v="Montana"/>
    <s v="Medium"/>
    <n v="645"/>
    <n v="5"/>
    <n v="20"/>
    <n v="12900"/>
    <n v="1032"/>
    <n v="11868"/>
    <n v="6450"/>
    <n v="5418"/>
    <d v="2014-07-01T00:00:00"/>
    <x v="9"/>
    <x v="9"/>
    <n v="2014"/>
  </r>
  <r>
    <x v="0"/>
    <x v="0"/>
    <s v="Paseo"/>
    <s v="Medium"/>
    <n v="1366"/>
    <n v="10"/>
    <n v="20"/>
    <n v="27320"/>
    <n v="2185.6"/>
    <n v="25134.400000000001"/>
    <n v="13660"/>
    <n v="11474.4"/>
    <d v="2014-06-01T00:00:00"/>
    <x v="1"/>
    <x v="1"/>
    <n v="2014"/>
  </r>
  <r>
    <x v="0"/>
    <x v="0"/>
    <s v="Paseo"/>
    <s v="Medium"/>
    <n v="1934"/>
    <n v="10"/>
    <n v="20"/>
    <n v="38680"/>
    <n v="3094.4"/>
    <n v="35585.599999999999"/>
    <n v="19340"/>
    <n v="16245.6"/>
    <d v="2014-09-01T00:00:00"/>
    <x v="3"/>
    <x v="3"/>
    <n v="2014"/>
  </r>
  <r>
    <x v="0"/>
    <x v="3"/>
    <s v="Paseo"/>
    <s v="Medium"/>
    <n v="2993"/>
    <n v="10"/>
    <n v="20"/>
    <n v="59860"/>
    <n v="4788.8"/>
    <n v="55071.199999999997"/>
    <n v="29930"/>
    <n v="25141.200000000001"/>
    <d v="2014-09-01T00:00:00"/>
    <x v="3"/>
    <x v="3"/>
    <n v="2014"/>
  </r>
  <r>
    <x v="0"/>
    <x v="1"/>
    <s v="Amarilla"/>
    <s v="Medium"/>
    <n v="708"/>
    <n v="260"/>
    <n v="20"/>
    <n v="14160"/>
    <n v="1132.8"/>
    <n v="13027.2"/>
    <n v="7080"/>
    <n v="5947.2"/>
    <d v="2014-06-01T00:00:00"/>
    <x v="1"/>
    <x v="1"/>
    <n v="2014"/>
  </r>
  <r>
    <x v="0"/>
    <x v="0"/>
    <s v="Amarilla"/>
    <s v="Medium"/>
    <n v="1366"/>
    <n v="260"/>
    <n v="20"/>
    <n v="27320"/>
    <n v="2185.6"/>
    <n v="25134.400000000001"/>
    <n v="13660"/>
    <n v="11474.4"/>
    <d v="2014-06-01T00:00:00"/>
    <x v="1"/>
    <x v="1"/>
    <n v="2014"/>
  </r>
  <r>
    <x v="0"/>
    <x v="0"/>
    <s v="Amarilla"/>
    <s v="Medium"/>
    <n v="1520"/>
    <n v="260"/>
    <n v="20"/>
    <n v="30400"/>
    <n v="2432"/>
    <n v="27968"/>
    <n v="15200"/>
    <n v="12768"/>
    <d v="2014-11-01T00:00:00"/>
    <x v="2"/>
    <x v="2"/>
    <n v="2014"/>
  </r>
  <r>
    <x v="0"/>
    <x v="4"/>
    <s v="VTT"/>
    <s v="Medium"/>
    <n v="436.5"/>
    <n v="250"/>
    <n v="20"/>
    <n v="8730"/>
    <n v="698.4"/>
    <n v="8031.6"/>
    <n v="4365"/>
    <n v="3666.6"/>
    <d v="2014-07-01T00:00:00"/>
    <x v="9"/>
    <x v="9"/>
    <n v="2014"/>
  </r>
  <r>
    <x v="0"/>
    <x v="3"/>
    <s v="Amarilla"/>
    <s v="Medium"/>
    <n v="1694"/>
    <n v="260"/>
    <n v="20"/>
    <n v="33880"/>
    <n v="3049.2"/>
    <n v="30830.799999999999"/>
    <n v="16940"/>
    <n v="13890.8"/>
    <d v="2014-11-01T00:00:00"/>
    <x v="2"/>
    <x v="2"/>
    <n v="2014"/>
  </r>
  <r>
    <x v="0"/>
    <x v="0"/>
    <s v="Carretera"/>
    <s v="Medium"/>
    <n v="663"/>
    <n v="3"/>
    <n v="20"/>
    <n v="13260"/>
    <n v="1193.4000000000001"/>
    <n v="12066.6"/>
    <n v="6630"/>
    <n v="5436.6"/>
    <d v="2014-05-01T00:00:00"/>
    <x v="11"/>
    <x v="11"/>
    <n v="2014"/>
  </r>
  <r>
    <x v="0"/>
    <x v="4"/>
    <s v="Paseo"/>
    <s v="Medium"/>
    <n v="973"/>
    <n v="10"/>
    <n v="20"/>
    <n v="19460"/>
    <n v="1751.4"/>
    <n v="17708.599999999999"/>
    <n v="9730"/>
    <n v="7978.6"/>
    <d v="2014-03-01T00:00:00"/>
    <x v="5"/>
    <x v="5"/>
    <n v="2014"/>
  </r>
  <r>
    <x v="0"/>
    <x v="3"/>
    <s v="Paseo"/>
    <s v="Medium"/>
    <n v="1038"/>
    <n v="10"/>
    <n v="20"/>
    <n v="20760"/>
    <n v="1868.4"/>
    <n v="18891.599999999999"/>
    <n v="10380"/>
    <n v="8511.6"/>
    <d v="2014-06-01T00:00:00"/>
    <x v="1"/>
    <x v="1"/>
    <n v="2014"/>
  </r>
  <r>
    <x v="0"/>
    <x v="2"/>
    <s v="VTT"/>
    <s v="Medium"/>
    <n v="2682"/>
    <n v="250"/>
    <n v="20"/>
    <n v="53640"/>
    <n v="4827.6000000000004"/>
    <n v="48812.4"/>
    <n v="26820"/>
    <n v="21992.400000000001"/>
    <d v="2013-11-01T00:00:00"/>
    <x v="2"/>
    <x v="2"/>
    <n v="2013"/>
  </r>
  <r>
    <x v="0"/>
    <x v="3"/>
    <s v="Amarilla"/>
    <s v="Medium"/>
    <n v="1038"/>
    <n v="260"/>
    <n v="20"/>
    <n v="20760"/>
    <n v="1868.4"/>
    <n v="18891.599999999999"/>
    <n v="10380"/>
    <n v="8511.6"/>
    <d v="2014-06-01T00:00:00"/>
    <x v="1"/>
    <x v="1"/>
    <n v="2014"/>
  </r>
  <r>
    <x v="0"/>
    <x v="2"/>
    <s v="Paseo"/>
    <s v="High"/>
    <n v="1954"/>
    <n v="10"/>
    <n v="20"/>
    <n v="39080"/>
    <n v="3908"/>
    <n v="35172"/>
    <n v="19540"/>
    <n v="15632"/>
    <d v="2014-03-01T00:00:00"/>
    <x v="5"/>
    <x v="5"/>
    <n v="2014"/>
  </r>
  <r>
    <x v="0"/>
    <x v="0"/>
    <s v="Paseo"/>
    <s v="High"/>
    <n v="241"/>
    <n v="10"/>
    <n v="20"/>
    <n v="4820"/>
    <n v="482"/>
    <n v="4338"/>
    <n v="2410"/>
    <n v="1928"/>
    <d v="2014-10-01T00:00:00"/>
    <x v="6"/>
    <x v="6"/>
    <n v="2014"/>
  </r>
  <r>
    <x v="0"/>
    <x v="0"/>
    <s v="Velo"/>
    <s v="High"/>
    <n v="241"/>
    <n v="120"/>
    <n v="20"/>
    <n v="4820"/>
    <n v="482"/>
    <n v="4338"/>
    <n v="2410"/>
    <n v="1928"/>
    <d v="2014-10-01T00:00:00"/>
    <x v="6"/>
    <x v="6"/>
    <n v="2014"/>
  </r>
  <r>
    <x v="0"/>
    <x v="3"/>
    <s v="Amarilla"/>
    <s v="High"/>
    <n v="2039"/>
    <n v="260"/>
    <n v="20"/>
    <n v="40780"/>
    <n v="4078"/>
    <n v="36702"/>
    <n v="20390"/>
    <n v="16312"/>
    <d v="2014-05-01T00:00:00"/>
    <x v="11"/>
    <x v="11"/>
    <n v="2014"/>
  </r>
  <r>
    <x v="0"/>
    <x v="0"/>
    <s v="Montana"/>
    <s v="High"/>
    <n v="2992"/>
    <n v="5"/>
    <n v="20"/>
    <n v="59840"/>
    <n v="6582.4"/>
    <n v="53257.599999999999"/>
    <n v="29920"/>
    <n v="23337.599999999999"/>
    <d v="2013-10-01T00:00:00"/>
    <x v="6"/>
    <x v="6"/>
    <n v="2013"/>
  </r>
  <r>
    <x v="0"/>
    <x v="3"/>
    <s v="Paseo"/>
    <s v="High"/>
    <n v="1122"/>
    <n v="10"/>
    <n v="20"/>
    <n v="22440"/>
    <n v="2468.4"/>
    <n v="19971.599999999999"/>
    <n v="11220"/>
    <n v="8751.6"/>
    <d v="2014-03-01T00:00:00"/>
    <x v="5"/>
    <x v="5"/>
    <n v="2014"/>
  </r>
  <r>
    <x v="0"/>
    <x v="1"/>
    <s v="Paseo"/>
    <s v="High"/>
    <n v="2394"/>
    <n v="10"/>
    <n v="20"/>
    <n v="47880"/>
    <n v="5266.8"/>
    <n v="42613.2"/>
    <n v="23940"/>
    <n v="18673.2"/>
    <d v="2014-08-01T00:00:00"/>
    <x v="8"/>
    <x v="8"/>
    <n v="2014"/>
  </r>
  <r>
    <x v="0"/>
    <x v="0"/>
    <s v="Paseo"/>
    <s v="High"/>
    <n v="2992"/>
    <n v="10"/>
    <n v="20"/>
    <n v="59840"/>
    <n v="6582.4"/>
    <n v="53257.599999999999"/>
    <n v="29920"/>
    <n v="23337.599999999999"/>
    <d v="2013-10-01T00:00:00"/>
    <x v="6"/>
    <x v="6"/>
    <n v="2013"/>
  </r>
  <r>
    <x v="0"/>
    <x v="2"/>
    <s v="Velo"/>
    <s v="High"/>
    <n v="2805"/>
    <n v="120"/>
    <n v="20"/>
    <n v="56100"/>
    <n v="6171"/>
    <n v="49929"/>
    <n v="28050"/>
    <n v="21879"/>
    <d v="2013-09-01T00:00:00"/>
    <x v="3"/>
    <x v="3"/>
    <n v="2013"/>
  </r>
  <r>
    <x v="0"/>
    <x v="1"/>
    <s v="VTT"/>
    <s v="High"/>
    <n v="2935"/>
    <n v="250"/>
    <n v="20"/>
    <n v="58700"/>
    <n v="6457"/>
    <n v="52243"/>
    <n v="29350"/>
    <n v="22893"/>
    <d v="2013-11-01T00:00:00"/>
    <x v="2"/>
    <x v="2"/>
    <n v="2013"/>
  </r>
  <r>
    <x v="0"/>
    <x v="3"/>
    <s v="Amarilla"/>
    <s v="High"/>
    <n v="2629"/>
    <n v="260"/>
    <n v="20"/>
    <n v="52580"/>
    <n v="5783.8"/>
    <n v="46796.2"/>
    <n v="26290"/>
    <n v="20506.2"/>
    <d v="2014-01-01T00:00:00"/>
    <x v="10"/>
    <x v="10"/>
    <n v="2014"/>
  </r>
  <r>
    <x v="0"/>
    <x v="3"/>
    <s v="Montana"/>
    <s v="High"/>
    <n v="1715"/>
    <n v="5"/>
    <n v="20"/>
    <n v="34300"/>
    <n v="4116"/>
    <n v="30184"/>
    <n v="17150"/>
    <n v="13034"/>
    <d v="2013-10-01T00:00:00"/>
    <x v="6"/>
    <x v="6"/>
    <n v="2013"/>
  </r>
  <r>
    <x v="0"/>
    <x v="3"/>
    <s v="Paseo"/>
    <s v="High"/>
    <n v="905"/>
    <n v="10"/>
    <n v="20"/>
    <n v="18100"/>
    <n v="2172"/>
    <n v="15928"/>
    <n v="9050"/>
    <n v="6878"/>
    <d v="2014-10-01T00:00:00"/>
    <x v="6"/>
    <x v="6"/>
    <n v="2014"/>
  </r>
  <r>
    <x v="0"/>
    <x v="3"/>
    <s v="Paseo"/>
    <s v="High"/>
    <n v="1715"/>
    <n v="10"/>
    <n v="20"/>
    <n v="34300"/>
    <n v="4116"/>
    <n v="30184"/>
    <n v="17150"/>
    <n v="13034"/>
    <d v="2013-10-01T00:00:00"/>
    <x v="6"/>
    <x v="6"/>
    <n v="2013"/>
  </r>
  <r>
    <x v="0"/>
    <x v="3"/>
    <s v="Paseo"/>
    <s v="High"/>
    <n v="1233"/>
    <n v="10"/>
    <n v="20"/>
    <n v="24660"/>
    <n v="2959.2"/>
    <n v="21700.799999999999"/>
    <n v="12330"/>
    <n v="9370.7999999999993"/>
    <d v="2014-12-01T00:00:00"/>
    <x v="0"/>
    <x v="0"/>
    <n v="2014"/>
  </r>
  <r>
    <x v="0"/>
    <x v="3"/>
    <s v="Velo"/>
    <s v="High"/>
    <n v="905"/>
    <n v="120"/>
    <n v="20"/>
    <n v="18100"/>
    <n v="2172"/>
    <n v="15928"/>
    <n v="9050"/>
    <n v="6878"/>
    <d v="2014-10-01T00:00:00"/>
    <x v="6"/>
    <x v="6"/>
    <n v="2014"/>
  </r>
  <r>
    <x v="0"/>
    <x v="3"/>
    <s v="VTT"/>
    <s v="High"/>
    <n v="1233"/>
    <n v="250"/>
    <n v="20"/>
    <n v="24660"/>
    <n v="2959.2"/>
    <n v="21700.799999999999"/>
    <n v="12330"/>
    <n v="9370.7999999999993"/>
    <d v="2014-12-01T00:00:00"/>
    <x v="0"/>
    <x v="0"/>
    <n v="2014"/>
  </r>
  <r>
    <x v="0"/>
    <x v="2"/>
    <s v="Carretera"/>
    <s v="High"/>
    <n v="2521.5"/>
    <n v="3"/>
    <n v="20"/>
    <n v="50430"/>
    <n v="6051.6"/>
    <n v="44378.400000000001"/>
    <n v="25215"/>
    <n v="19163.400000000001"/>
    <d v="2014-01-01T00:00:00"/>
    <x v="10"/>
    <x v="10"/>
    <n v="2014"/>
  </r>
  <r>
    <x v="0"/>
    <x v="0"/>
    <s v="Paseo"/>
    <s v="High"/>
    <n v="1531"/>
    <n v="10"/>
    <n v="20"/>
    <n v="30620"/>
    <n v="3674.4"/>
    <n v="26945.599999999999"/>
    <n v="15310"/>
    <n v="11635.6"/>
    <d v="2014-12-01T00:00:00"/>
    <x v="0"/>
    <x v="0"/>
    <n v="2014"/>
  </r>
  <r>
    <x v="0"/>
    <x v="0"/>
    <s v="VTT"/>
    <s v="High"/>
    <n v="1531"/>
    <n v="250"/>
    <n v="20"/>
    <n v="30620"/>
    <n v="3674.4"/>
    <n v="26945.599999999999"/>
    <n v="15310"/>
    <n v="11635.6"/>
    <d v="2014-12-01T00:00:00"/>
    <x v="0"/>
    <x v="0"/>
    <n v="2014"/>
  </r>
  <r>
    <x v="0"/>
    <x v="0"/>
    <s v="Carretera"/>
    <s v="High"/>
    <n v="442"/>
    <n v="3"/>
    <n v="20"/>
    <n v="8840"/>
    <n v="1149.2"/>
    <n v="7690.8"/>
    <n v="4420"/>
    <n v="3270.8"/>
    <d v="2013-09-01T00:00:00"/>
    <x v="3"/>
    <x v="3"/>
    <n v="2013"/>
  </r>
  <r>
    <x v="0"/>
    <x v="3"/>
    <s v="Montana"/>
    <s v="High"/>
    <n v="2255"/>
    <n v="5"/>
    <n v="20"/>
    <n v="45100"/>
    <n v="5863"/>
    <n v="39237"/>
    <n v="22550"/>
    <n v="16687"/>
    <d v="2014-07-01T00:00:00"/>
    <x v="9"/>
    <x v="9"/>
    <n v="2014"/>
  </r>
  <r>
    <x v="0"/>
    <x v="1"/>
    <s v="Montana"/>
    <s v="High"/>
    <n v="1249"/>
    <n v="5"/>
    <n v="20"/>
    <n v="24980"/>
    <n v="3247.4"/>
    <n v="21732.6"/>
    <n v="12490"/>
    <n v="9242.6"/>
    <d v="2014-10-01T00:00:00"/>
    <x v="6"/>
    <x v="6"/>
    <n v="2014"/>
  </r>
  <r>
    <x v="0"/>
    <x v="4"/>
    <s v="Paseo"/>
    <s v="High"/>
    <n v="2641"/>
    <n v="10"/>
    <n v="20"/>
    <n v="52820"/>
    <n v="6866.6"/>
    <n v="45953.4"/>
    <n v="26410"/>
    <n v="19543.400000000001"/>
    <d v="2014-02-01T00:00:00"/>
    <x v="4"/>
    <x v="4"/>
    <n v="2014"/>
  </r>
  <r>
    <x v="0"/>
    <x v="0"/>
    <s v="Paseo"/>
    <s v="High"/>
    <n v="2708"/>
    <n v="10"/>
    <n v="20"/>
    <n v="54160"/>
    <n v="7040.8"/>
    <n v="47119.199999999997"/>
    <n v="27080"/>
    <n v="20039.2"/>
    <d v="2014-02-01T00:00:00"/>
    <x v="4"/>
    <x v="4"/>
    <n v="2014"/>
  </r>
  <r>
    <x v="0"/>
    <x v="1"/>
    <s v="Paseo"/>
    <s v="High"/>
    <n v="1249"/>
    <n v="10"/>
    <n v="20"/>
    <n v="24980"/>
    <n v="3247.4"/>
    <n v="21732.6"/>
    <n v="12490"/>
    <n v="9242.6"/>
    <d v="2014-10-01T00:00:00"/>
    <x v="6"/>
    <x v="6"/>
    <n v="2014"/>
  </r>
  <r>
    <x v="0"/>
    <x v="3"/>
    <s v="Carretera"/>
    <s v="High"/>
    <n v="2579"/>
    <n v="3"/>
    <n v="20"/>
    <n v="51580"/>
    <n v="7221.2"/>
    <n v="44358.8"/>
    <n v="25790"/>
    <n v="18568.8"/>
    <d v="2014-04-01T00:00:00"/>
    <x v="7"/>
    <x v="7"/>
    <n v="2014"/>
  </r>
  <r>
    <x v="0"/>
    <x v="4"/>
    <s v="Carretera"/>
    <s v="High"/>
    <n v="1743"/>
    <n v="3"/>
    <n v="20"/>
    <n v="34860"/>
    <n v="4880.3999999999996"/>
    <n v="29979.599999999999"/>
    <n v="17430"/>
    <n v="12549.6"/>
    <d v="2014-05-01T00:00:00"/>
    <x v="11"/>
    <x v="11"/>
    <n v="2014"/>
  </r>
  <r>
    <x v="0"/>
    <x v="1"/>
    <s v="Paseo"/>
    <s v="High"/>
    <n v="2428"/>
    <n v="10"/>
    <n v="20"/>
    <n v="48560"/>
    <n v="6798.4"/>
    <n v="41761.599999999999"/>
    <n v="24280"/>
    <n v="17481.599999999999"/>
    <d v="2014-03-01T00:00:00"/>
    <x v="5"/>
    <x v="5"/>
    <n v="2014"/>
  </r>
  <r>
    <x v="0"/>
    <x v="3"/>
    <s v="Paseo"/>
    <s v="High"/>
    <n v="260"/>
    <n v="10"/>
    <n v="20"/>
    <n v="5200"/>
    <n v="728"/>
    <n v="4472"/>
    <n v="2600"/>
    <n v="1872"/>
    <d v="2014-02-01T00:00:00"/>
    <x v="4"/>
    <x v="4"/>
    <n v="2014"/>
  </r>
  <r>
    <x v="0"/>
    <x v="4"/>
    <s v="Velo"/>
    <s v="High"/>
    <n v="606"/>
    <n v="120"/>
    <n v="20"/>
    <n v="12120"/>
    <n v="1696.8"/>
    <n v="10423.200000000001"/>
    <n v="6060"/>
    <n v="4363.2"/>
    <d v="2014-04-01T00:00:00"/>
    <x v="7"/>
    <x v="7"/>
    <n v="2014"/>
  </r>
  <r>
    <x v="0"/>
    <x v="0"/>
    <s v="Paseo"/>
    <s v="High"/>
    <n v="1158"/>
    <n v="10"/>
    <n v="20"/>
    <n v="23160"/>
    <n v="3474"/>
    <n v="19686"/>
    <n v="11580"/>
    <n v="8106"/>
    <d v="2014-03-01T00:00:00"/>
    <x v="5"/>
    <x v="5"/>
    <n v="2014"/>
  </r>
  <r>
    <x v="0"/>
    <x v="4"/>
    <s v="Paseo"/>
    <s v="High"/>
    <n v="267"/>
    <n v="10"/>
    <n v="20"/>
    <n v="5340"/>
    <n v="801"/>
    <n v="4539"/>
    <n v="2670"/>
    <n v="1869"/>
    <d v="2013-10-01T00:00:00"/>
    <x v="6"/>
    <x v="6"/>
    <n v="2013"/>
  </r>
  <r>
    <x v="0"/>
    <x v="2"/>
    <s v="Paseo"/>
    <s v="High"/>
    <n v="293"/>
    <n v="10"/>
    <n v="20"/>
    <n v="5860"/>
    <n v="879"/>
    <n v="4981"/>
    <n v="2930"/>
    <n v="2051"/>
    <d v="2014-12-01T00:00:00"/>
    <x v="0"/>
    <x v="0"/>
    <n v="2014"/>
  </r>
  <r>
    <x v="0"/>
    <x v="1"/>
    <s v="VTT"/>
    <s v="High"/>
    <n v="865.5"/>
    <n v="250"/>
    <n v="20"/>
    <n v="17310"/>
    <n v="2596.5"/>
    <n v="14713.5"/>
    <n v="8655"/>
    <n v="6058.5"/>
    <d v="2014-07-01T00:00:00"/>
    <x v="9"/>
    <x v="9"/>
    <n v="2014"/>
  </r>
  <r>
    <x v="0"/>
    <x v="4"/>
    <s v="VTT"/>
    <s v="High"/>
    <n v="267"/>
    <n v="250"/>
    <n v="20"/>
    <n v="5340"/>
    <n v="801"/>
    <n v="4539"/>
    <n v="2670"/>
    <n v="1869"/>
    <d v="2013-10-01T00:00:00"/>
    <x v="6"/>
    <x v="6"/>
    <n v="2013"/>
  </r>
  <r>
    <x v="0"/>
    <x v="2"/>
    <s v="VTT"/>
    <s v="High"/>
    <n v="293"/>
    <n v="250"/>
    <n v="20"/>
    <n v="5860"/>
    <n v="879"/>
    <n v="4981"/>
    <n v="2930"/>
    <n v="2051"/>
    <d v="2014-12-01T00:00:00"/>
    <x v="0"/>
    <x v="0"/>
    <n v="2014"/>
  </r>
  <r>
    <x v="0"/>
    <x v="0"/>
    <s v="Montana"/>
    <s v="None"/>
    <n v="2146"/>
    <n v="5"/>
    <n v="7"/>
    <n v="15022"/>
    <n v="0"/>
    <n v="15022"/>
    <n v="10730"/>
    <n v="4292"/>
    <d v="2014-09-01T00:00:00"/>
    <x v="3"/>
    <x v="3"/>
    <n v="2014"/>
  </r>
  <r>
    <x v="0"/>
    <x v="3"/>
    <s v="Paseo"/>
    <s v="None"/>
    <n v="883"/>
    <n v="10"/>
    <n v="7"/>
    <n v="6181"/>
    <n v="0"/>
    <n v="6181"/>
    <n v="4415"/>
    <n v="1766"/>
    <d v="2014-08-01T00:00:00"/>
    <x v="8"/>
    <x v="8"/>
    <n v="2014"/>
  </r>
  <r>
    <x v="0"/>
    <x v="4"/>
    <s v="Paseo"/>
    <s v="None"/>
    <n v="1143"/>
    <n v="10"/>
    <n v="7"/>
    <n v="8001"/>
    <n v="0"/>
    <n v="8001"/>
    <n v="5715"/>
    <n v="2286"/>
    <d v="2014-10-01T00:00:00"/>
    <x v="6"/>
    <x v="6"/>
    <n v="2014"/>
  </r>
  <r>
    <x v="0"/>
    <x v="3"/>
    <s v="Velo"/>
    <s v="None"/>
    <n v="1493"/>
    <n v="120"/>
    <n v="7"/>
    <n v="10451"/>
    <n v="0"/>
    <n v="10451"/>
    <n v="7465"/>
    <n v="2986"/>
    <d v="2014-01-01T00:00:00"/>
    <x v="10"/>
    <x v="10"/>
    <n v="2014"/>
  </r>
  <r>
    <x v="0"/>
    <x v="0"/>
    <s v="Amarilla"/>
    <s v="None"/>
    <n v="1686"/>
    <n v="260"/>
    <n v="7"/>
    <n v="11802"/>
    <n v="0"/>
    <n v="11802"/>
    <n v="8430"/>
    <n v="3372"/>
    <d v="2014-07-01T00:00:00"/>
    <x v="9"/>
    <x v="9"/>
    <n v="2014"/>
  </r>
  <r>
    <x v="0"/>
    <x v="4"/>
    <s v="Amarilla"/>
    <s v="None"/>
    <n v="1143"/>
    <n v="260"/>
    <n v="7"/>
    <n v="8001"/>
    <n v="0"/>
    <n v="8001"/>
    <n v="5715"/>
    <n v="2286"/>
    <d v="2014-10-01T00:00:00"/>
    <x v="6"/>
    <x v="6"/>
    <n v="2014"/>
  </r>
  <r>
    <x v="0"/>
    <x v="2"/>
    <s v="Paseo"/>
    <s v="Low"/>
    <n v="3945"/>
    <n v="10"/>
    <n v="7"/>
    <n v="27615"/>
    <n v="276.14999999999998"/>
    <n v="27338.85"/>
    <n v="19725"/>
    <n v="7613.85"/>
    <d v="2014-01-01T00:00:00"/>
    <x v="10"/>
    <x v="10"/>
    <n v="2014"/>
  </r>
  <r>
    <x v="0"/>
    <x v="2"/>
    <s v="Paseo"/>
    <s v="Low"/>
    <n v="1030"/>
    <n v="10"/>
    <n v="7"/>
    <n v="7210"/>
    <n v="72.099999999999994"/>
    <n v="7137.9"/>
    <n v="5150"/>
    <n v="1987.9"/>
    <d v="2014-05-01T00:00:00"/>
    <x v="11"/>
    <x v="11"/>
    <n v="2014"/>
  </r>
  <r>
    <x v="0"/>
    <x v="2"/>
    <s v="Velo"/>
    <s v="Low"/>
    <n v="639"/>
    <n v="120"/>
    <n v="7"/>
    <n v="4473"/>
    <n v="44.73"/>
    <n v="4428.2700000000004"/>
    <n v="3195"/>
    <n v="1233.27"/>
    <d v="2014-11-01T00:00:00"/>
    <x v="2"/>
    <x v="2"/>
    <n v="2014"/>
  </r>
  <r>
    <x v="0"/>
    <x v="1"/>
    <s v="VTT"/>
    <s v="Low"/>
    <n v="1326"/>
    <n v="250"/>
    <n v="7"/>
    <n v="9282"/>
    <n v="92.82"/>
    <n v="9189.18"/>
    <n v="6630"/>
    <n v="2559.1799999999998"/>
    <d v="2014-03-01T00:00:00"/>
    <x v="5"/>
    <x v="5"/>
    <n v="2014"/>
  </r>
  <r>
    <x v="0"/>
    <x v="4"/>
    <s v="Carretera"/>
    <s v="Low"/>
    <n v="2529"/>
    <n v="3"/>
    <n v="7"/>
    <n v="17703"/>
    <n v="177.03"/>
    <n v="17525.97"/>
    <n v="12645"/>
    <n v="4880.97"/>
    <d v="2014-07-01T00:00:00"/>
    <x v="9"/>
    <x v="9"/>
    <n v="2014"/>
  </r>
  <r>
    <x v="0"/>
    <x v="1"/>
    <s v="Montana"/>
    <s v="Low"/>
    <n v="1830"/>
    <n v="5"/>
    <n v="7"/>
    <n v="12810"/>
    <n v="128.1"/>
    <n v="12681.9"/>
    <n v="9150"/>
    <n v="3531.9"/>
    <d v="2014-08-01T00:00:00"/>
    <x v="8"/>
    <x v="8"/>
    <n v="2014"/>
  </r>
  <r>
    <x v="0"/>
    <x v="4"/>
    <s v="Paseo"/>
    <s v="Low"/>
    <n v="4492.5"/>
    <n v="10"/>
    <n v="7"/>
    <n v="31447.5"/>
    <n v="314.47500000000002"/>
    <n v="31133.025000000001"/>
    <n v="22462.5"/>
    <n v="8670.5249999999996"/>
    <d v="2014-04-01T00:00:00"/>
    <x v="7"/>
    <x v="7"/>
    <n v="2014"/>
  </r>
  <r>
    <x v="0"/>
    <x v="3"/>
    <s v="Velo"/>
    <s v="Low"/>
    <n v="362"/>
    <n v="120"/>
    <n v="7"/>
    <n v="2534"/>
    <n v="25.34"/>
    <n v="2508.66"/>
    <n v="1810"/>
    <n v="698.66"/>
    <d v="2014-05-01T00:00:00"/>
    <x v="11"/>
    <x v="11"/>
    <n v="2014"/>
  </r>
  <r>
    <x v="0"/>
    <x v="1"/>
    <s v="Velo"/>
    <s v="Low"/>
    <n v="2092"/>
    <n v="120"/>
    <n v="7"/>
    <n v="14644"/>
    <n v="146.44"/>
    <n v="14497.56"/>
    <n v="10460"/>
    <n v="4037.56"/>
    <d v="2013-11-01T00:00:00"/>
    <x v="2"/>
    <x v="2"/>
    <n v="2013"/>
  </r>
  <r>
    <x v="0"/>
    <x v="0"/>
    <s v="VTT"/>
    <s v="Low"/>
    <n v="263"/>
    <n v="250"/>
    <n v="7"/>
    <n v="1841"/>
    <n v="18.41"/>
    <n v="1822.59"/>
    <n v="1315"/>
    <n v="507.59"/>
    <d v="2014-03-01T00:00:00"/>
    <x v="5"/>
    <x v="5"/>
    <n v="2014"/>
  </r>
  <r>
    <x v="0"/>
    <x v="2"/>
    <s v="Carretera"/>
    <s v="Low"/>
    <n v="2145"/>
    <n v="3"/>
    <n v="7"/>
    <n v="15015"/>
    <n v="300.3"/>
    <n v="14714.7"/>
    <n v="10725"/>
    <n v="3989.7"/>
    <d v="2013-11-01T00:00:00"/>
    <x v="2"/>
    <x v="2"/>
    <n v="2013"/>
  </r>
  <r>
    <x v="0"/>
    <x v="4"/>
    <s v="Paseo"/>
    <s v="Low"/>
    <n v="2013"/>
    <n v="10"/>
    <n v="7"/>
    <n v="14091"/>
    <n v="281.82"/>
    <n v="13809.18"/>
    <n v="10065"/>
    <n v="3744.18"/>
    <d v="2013-12-01T00:00:00"/>
    <x v="0"/>
    <x v="0"/>
    <n v="2013"/>
  </r>
  <r>
    <x v="0"/>
    <x v="0"/>
    <s v="Montana"/>
    <s v="Low"/>
    <n v="1958"/>
    <n v="5"/>
    <n v="7"/>
    <n v="13706"/>
    <n v="411.18"/>
    <n v="13294.82"/>
    <n v="9790"/>
    <n v="3504.82"/>
    <d v="2014-02-01T00:00:00"/>
    <x v="4"/>
    <x v="4"/>
    <n v="2014"/>
  </r>
  <r>
    <x v="0"/>
    <x v="2"/>
    <s v="Montana"/>
    <s v="Low"/>
    <n v="544"/>
    <n v="5"/>
    <n v="7"/>
    <n v="3808"/>
    <n v="114.24"/>
    <n v="3693.76"/>
    <n v="2720"/>
    <n v="973.76"/>
    <d v="2014-09-01T00:00:00"/>
    <x v="3"/>
    <x v="3"/>
    <n v="2014"/>
  </r>
  <r>
    <x v="0"/>
    <x v="3"/>
    <s v="Paseo"/>
    <s v="Low"/>
    <n v="1760"/>
    <n v="10"/>
    <n v="7"/>
    <n v="12320"/>
    <n v="369.6"/>
    <n v="11950.4"/>
    <n v="8800"/>
    <n v="3150.4"/>
    <d v="2013-09-01T00:00:00"/>
    <x v="3"/>
    <x v="3"/>
    <n v="2013"/>
  </r>
  <r>
    <x v="0"/>
    <x v="1"/>
    <s v="Carretera"/>
    <s v="Low"/>
    <n v="2851"/>
    <n v="3"/>
    <n v="7"/>
    <n v="19957"/>
    <n v="798.28"/>
    <n v="19158.72"/>
    <n v="14255"/>
    <n v="4903.72"/>
    <d v="2013-10-01T00:00:00"/>
    <x v="6"/>
    <x v="6"/>
    <n v="2013"/>
  </r>
  <r>
    <x v="0"/>
    <x v="1"/>
    <s v="Montana"/>
    <s v="Low"/>
    <n v="2851"/>
    <n v="5"/>
    <n v="7"/>
    <n v="19957"/>
    <n v="798.28"/>
    <n v="19158.72"/>
    <n v="14255"/>
    <n v="4903.72"/>
    <d v="2013-10-01T00:00:00"/>
    <x v="6"/>
    <x v="6"/>
    <n v="2013"/>
  </r>
  <r>
    <x v="0"/>
    <x v="1"/>
    <s v="Paseo"/>
    <s v="Low"/>
    <n v="4251"/>
    <n v="10"/>
    <n v="7"/>
    <n v="29757"/>
    <n v="1190.28"/>
    <n v="28566.720000000001"/>
    <n v="21255"/>
    <n v="7311.72"/>
    <d v="2014-01-01T00:00:00"/>
    <x v="10"/>
    <x v="10"/>
    <n v="2014"/>
  </r>
  <r>
    <x v="0"/>
    <x v="0"/>
    <s v="Montana"/>
    <s v="Medium"/>
    <n v="1159"/>
    <n v="5"/>
    <n v="7"/>
    <n v="8113"/>
    <n v="405.65"/>
    <n v="7707.35"/>
    <n v="5795"/>
    <n v="1912.35"/>
    <d v="2013-10-01T00:00:00"/>
    <x v="6"/>
    <x v="6"/>
    <n v="2013"/>
  </r>
  <r>
    <x v="0"/>
    <x v="0"/>
    <s v="Paseo"/>
    <s v="Medium"/>
    <n v="1372"/>
    <n v="10"/>
    <n v="7"/>
    <n v="9604"/>
    <n v="480.2"/>
    <n v="9123.7999999999993"/>
    <n v="6860"/>
    <n v="2263.8000000000002"/>
    <d v="2014-01-01T00:00:00"/>
    <x v="10"/>
    <x v="10"/>
    <n v="2014"/>
  </r>
  <r>
    <x v="0"/>
    <x v="1"/>
    <s v="Paseo"/>
    <s v="Medium"/>
    <n v="2349"/>
    <n v="10"/>
    <n v="7"/>
    <n v="16443"/>
    <n v="822.15"/>
    <n v="15620.85"/>
    <n v="11745"/>
    <n v="3875.85"/>
    <d v="2013-09-01T00:00:00"/>
    <x v="3"/>
    <x v="3"/>
    <n v="2013"/>
  </r>
  <r>
    <x v="0"/>
    <x v="3"/>
    <s v="Paseo"/>
    <s v="Medium"/>
    <n v="2689"/>
    <n v="10"/>
    <n v="7"/>
    <n v="18823"/>
    <n v="941.15"/>
    <n v="17881.849999999999"/>
    <n v="13445"/>
    <n v="4436.8500000000004"/>
    <d v="2014-10-01T00:00:00"/>
    <x v="6"/>
    <x v="6"/>
    <n v="2014"/>
  </r>
  <r>
    <x v="0"/>
    <x v="3"/>
    <s v="VTT"/>
    <s v="Medium"/>
    <n v="2689"/>
    <n v="250"/>
    <n v="7"/>
    <n v="18823"/>
    <n v="941.15"/>
    <n v="17881.849999999999"/>
    <n v="13445"/>
    <n v="4436.8500000000004"/>
    <d v="2014-10-01T00:00:00"/>
    <x v="6"/>
    <x v="6"/>
    <n v="2014"/>
  </r>
  <r>
    <x v="0"/>
    <x v="3"/>
    <s v="Amarilla"/>
    <s v="Medium"/>
    <n v="1683"/>
    <n v="260"/>
    <n v="7"/>
    <n v="11781"/>
    <n v="589.04999999999995"/>
    <n v="11191.95"/>
    <n v="8415"/>
    <n v="2776.95"/>
    <d v="2014-07-01T00:00:00"/>
    <x v="9"/>
    <x v="9"/>
    <n v="2014"/>
  </r>
  <r>
    <x v="0"/>
    <x v="0"/>
    <s v="Amarilla"/>
    <s v="Medium"/>
    <n v="1159"/>
    <n v="260"/>
    <n v="7"/>
    <n v="8113"/>
    <n v="405.65"/>
    <n v="7707.35"/>
    <n v="5795"/>
    <n v="1912.35"/>
    <d v="2013-10-01T00:00:00"/>
    <x v="6"/>
    <x v="6"/>
    <n v="2013"/>
  </r>
  <r>
    <x v="0"/>
    <x v="0"/>
    <s v="Carretera"/>
    <s v="Medium"/>
    <n v="1016"/>
    <n v="3"/>
    <n v="7"/>
    <n v="7112"/>
    <n v="355.6"/>
    <n v="6756.4"/>
    <n v="5080"/>
    <n v="1676.4"/>
    <d v="2013-11-01T00:00:00"/>
    <x v="2"/>
    <x v="2"/>
    <n v="2013"/>
  </r>
  <r>
    <x v="0"/>
    <x v="4"/>
    <s v="Carretera"/>
    <s v="Medium"/>
    <n v="570"/>
    <n v="3"/>
    <n v="7"/>
    <n v="3990"/>
    <n v="199.5"/>
    <n v="3790.5"/>
    <n v="2850"/>
    <n v="940.5"/>
    <d v="2014-12-01T00:00:00"/>
    <x v="0"/>
    <x v="0"/>
    <n v="2014"/>
  </r>
  <r>
    <x v="0"/>
    <x v="2"/>
    <s v="Carretera"/>
    <s v="Medium"/>
    <n v="2487"/>
    <n v="3"/>
    <n v="7"/>
    <n v="17409"/>
    <n v="870.45"/>
    <n v="16538.55"/>
    <n v="12435"/>
    <n v="4103.55"/>
    <d v="2014-12-01T00:00:00"/>
    <x v="0"/>
    <x v="0"/>
    <n v="2014"/>
  </r>
  <r>
    <x v="0"/>
    <x v="4"/>
    <s v="Paseo"/>
    <s v="Medium"/>
    <n v="2327"/>
    <n v="10"/>
    <n v="7"/>
    <n v="16289"/>
    <n v="814.45"/>
    <n v="15474.55"/>
    <n v="11635"/>
    <n v="3839.55"/>
    <d v="2014-05-01T00:00:00"/>
    <x v="11"/>
    <x v="11"/>
    <n v="2014"/>
  </r>
  <r>
    <x v="0"/>
    <x v="2"/>
    <s v="Paseo"/>
    <s v="Medium"/>
    <n v="2136"/>
    <n v="10"/>
    <n v="7"/>
    <n v="14952"/>
    <n v="747.6"/>
    <n v="14204.4"/>
    <n v="10680"/>
    <n v="3524.4"/>
    <d v="2013-12-01T00:00:00"/>
    <x v="0"/>
    <x v="0"/>
    <n v="2013"/>
  </r>
  <r>
    <x v="0"/>
    <x v="4"/>
    <s v="VTT"/>
    <s v="Medium"/>
    <n v="570"/>
    <n v="250"/>
    <n v="7"/>
    <n v="3990"/>
    <n v="199.5"/>
    <n v="3790.5"/>
    <n v="2850"/>
    <n v="940.5"/>
    <d v="2014-12-01T00:00:00"/>
    <x v="0"/>
    <x v="0"/>
    <n v="2014"/>
  </r>
  <r>
    <x v="0"/>
    <x v="2"/>
    <s v="VTT"/>
    <s v="Medium"/>
    <n v="2487"/>
    <n v="250"/>
    <n v="7"/>
    <n v="17409"/>
    <n v="870.45"/>
    <n v="16538.55"/>
    <n v="12435"/>
    <n v="4103.55"/>
    <d v="2014-12-01T00:00:00"/>
    <x v="0"/>
    <x v="0"/>
    <n v="2014"/>
  </r>
  <r>
    <x v="0"/>
    <x v="4"/>
    <s v="Carretera"/>
    <s v="Medium"/>
    <n v="263"/>
    <n v="3"/>
    <n v="7"/>
    <n v="1841"/>
    <n v="110.46"/>
    <n v="1730.54"/>
    <n v="1315"/>
    <n v="415.54"/>
    <d v="2013-11-01T00:00:00"/>
    <x v="2"/>
    <x v="2"/>
    <n v="2013"/>
  </r>
  <r>
    <x v="0"/>
    <x v="2"/>
    <s v="Montana"/>
    <s v="Medium"/>
    <n v="1403"/>
    <n v="5"/>
    <n v="7"/>
    <n v="9821"/>
    <n v="589.26"/>
    <n v="9231.74"/>
    <n v="7015"/>
    <n v="2216.7399999999998"/>
    <d v="2013-10-01T00:00:00"/>
    <x v="6"/>
    <x v="6"/>
    <n v="2013"/>
  </r>
  <r>
    <x v="0"/>
    <x v="3"/>
    <s v="Velo"/>
    <s v="Medium"/>
    <n v="1498"/>
    <n v="120"/>
    <n v="7"/>
    <n v="10486"/>
    <n v="629.16"/>
    <n v="9856.84"/>
    <n v="7490"/>
    <n v="2366.84"/>
    <d v="2014-06-01T00:00:00"/>
    <x v="1"/>
    <x v="1"/>
    <n v="2014"/>
  </r>
  <r>
    <x v="0"/>
    <x v="3"/>
    <s v="VTT"/>
    <s v="Medium"/>
    <n v="1498"/>
    <n v="250"/>
    <n v="7"/>
    <n v="10486"/>
    <n v="629.16"/>
    <n v="9856.84"/>
    <n v="7490"/>
    <n v="2366.84"/>
    <d v="2014-06-01T00:00:00"/>
    <x v="1"/>
    <x v="1"/>
    <n v="2014"/>
  </r>
  <r>
    <x v="0"/>
    <x v="2"/>
    <s v="Amarilla"/>
    <s v="Medium"/>
    <n v="1403"/>
    <n v="260"/>
    <n v="7"/>
    <n v="9821"/>
    <n v="589.26"/>
    <n v="9231.74"/>
    <n v="7015"/>
    <n v="2216.7399999999998"/>
    <d v="2013-10-01T00:00:00"/>
    <x v="6"/>
    <x v="6"/>
    <n v="2013"/>
  </r>
  <r>
    <x v="0"/>
    <x v="3"/>
    <s v="Velo"/>
    <s v="Medium"/>
    <n v="1333"/>
    <n v="120"/>
    <n v="7"/>
    <n v="9331"/>
    <n v="559.86"/>
    <n v="8771.14"/>
    <n v="6665"/>
    <n v="2106.14"/>
    <d v="2014-11-01T00:00:00"/>
    <x v="2"/>
    <x v="2"/>
    <n v="2014"/>
  </r>
  <r>
    <x v="0"/>
    <x v="2"/>
    <s v="Paseo"/>
    <s v="Medium"/>
    <n v="1031"/>
    <n v="10"/>
    <n v="7"/>
    <n v="7217"/>
    <n v="505.19"/>
    <n v="6711.81"/>
    <n v="5155"/>
    <n v="1556.81"/>
    <d v="2013-09-01T00:00:00"/>
    <x v="3"/>
    <x v="3"/>
    <n v="2013"/>
  </r>
  <r>
    <x v="0"/>
    <x v="1"/>
    <s v="Velo"/>
    <s v="Medium"/>
    <n v="1135"/>
    <n v="120"/>
    <n v="7"/>
    <n v="7945"/>
    <n v="556.15"/>
    <n v="7388.85"/>
    <n v="5675"/>
    <n v="1713.85"/>
    <d v="2014-06-01T00:00:00"/>
    <x v="1"/>
    <x v="1"/>
    <n v="2014"/>
  </r>
  <r>
    <x v="0"/>
    <x v="4"/>
    <s v="Velo"/>
    <s v="Medium"/>
    <n v="547"/>
    <n v="120"/>
    <n v="7"/>
    <n v="3829"/>
    <n v="268.02999999999997"/>
    <n v="3560.97"/>
    <n v="2735"/>
    <n v="825.97"/>
    <d v="2014-11-01T00:00:00"/>
    <x v="2"/>
    <x v="2"/>
    <n v="2014"/>
  </r>
  <r>
    <x v="0"/>
    <x v="1"/>
    <s v="Velo"/>
    <s v="Medium"/>
    <n v="1582"/>
    <n v="120"/>
    <n v="7"/>
    <n v="11074"/>
    <n v="775.18"/>
    <n v="10298.82"/>
    <n v="7910"/>
    <n v="2388.8200000000002"/>
    <d v="2014-12-01T00:00:00"/>
    <x v="0"/>
    <x v="0"/>
    <n v="2014"/>
  </r>
  <r>
    <x v="0"/>
    <x v="1"/>
    <s v="VTT"/>
    <s v="Medium"/>
    <n v="1582"/>
    <n v="250"/>
    <n v="7"/>
    <n v="11074"/>
    <n v="775.18"/>
    <n v="10298.82"/>
    <n v="7910"/>
    <n v="2388.8200000000002"/>
    <d v="2014-12-01T00:00:00"/>
    <x v="0"/>
    <x v="0"/>
    <n v="2014"/>
  </r>
  <r>
    <x v="0"/>
    <x v="1"/>
    <s v="Amarilla"/>
    <s v="Medium"/>
    <n v="1135"/>
    <n v="260"/>
    <n v="7"/>
    <n v="7945"/>
    <n v="556.15"/>
    <n v="7388.85"/>
    <n v="5675"/>
    <n v="1713.85"/>
    <d v="2014-06-01T00:00:00"/>
    <x v="1"/>
    <x v="1"/>
    <n v="2014"/>
  </r>
  <r>
    <x v="0"/>
    <x v="0"/>
    <s v="Paseo"/>
    <s v="Medium"/>
    <n v="2125"/>
    <n v="10"/>
    <n v="7"/>
    <n v="14875"/>
    <n v="1041.25"/>
    <n v="13833.75"/>
    <n v="10625"/>
    <n v="3208.75"/>
    <d v="2013-12-01T00:00:00"/>
    <x v="0"/>
    <x v="0"/>
    <n v="2013"/>
  </r>
  <r>
    <x v="0"/>
    <x v="1"/>
    <s v="Montana"/>
    <s v="Medium"/>
    <n v="488"/>
    <n v="5"/>
    <n v="7"/>
    <n v="3416"/>
    <n v="273.27999999999997"/>
    <n v="3142.72"/>
    <n v="2440"/>
    <n v="702.72"/>
    <d v="2014-02-01T00:00:00"/>
    <x v="4"/>
    <x v="4"/>
    <n v="2014"/>
  </r>
  <r>
    <x v="0"/>
    <x v="1"/>
    <s v="Paseo"/>
    <s v="Medium"/>
    <n v="257"/>
    <n v="10"/>
    <n v="7"/>
    <n v="1799"/>
    <n v="143.91999999999999"/>
    <n v="1655.08"/>
    <n v="1285"/>
    <n v="370.08"/>
    <d v="2014-05-01T00:00:00"/>
    <x v="11"/>
    <x v="11"/>
    <n v="2014"/>
  </r>
  <r>
    <x v="0"/>
    <x v="0"/>
    <s v="Paseo"/>
    <s v="Medium"/>
    <n v="1259"/>
    <n v="10"/>
    <n v="7"/>
    <n v="8813"/>
    <n v="705.04"/>
    <n v="8107.96"/>
    <n v="6295"/>
    <n v="1812.96"/>
    <d v="2014-04-01T00:00:00"/>
    <x v="7"/>
    <x v="7"/>
    <n v="2014"/>
  </r>
  <r>
    <x v="0"/>
    <x v="0"/>
    <s v="Paseo"/>
    <s v="Medium"/>
    <n v="1095"/>
    <n v="10"/>
    <n v="7"/>
    <n v="7665"/>
    <n v="613.20000000000005"/>
    <n v="7051.8"/>
    <n v="5475"/>
    <n v="1576.8"/>
    <d v="2014-05-01T00:00:00"/>
    <x v="11"/>
    <x v="11"/>
    <n v="2014"/>
  </r>
  <r>
    <x v="0"/>
    <x v="4"/>
    <s v="Paseo"/>
    <s v="Medium"/>
    <n v="678"/>
    <n v="10"/>
    <n v="7"/>
    <n v="4746"/>
    <n v="379.68"/>
    <n v="4366.32"/>
    <n v="3390"/>
    <n v="976.32"/>
    <d v="2014-08-01T00:00:00"/>
    <x v="8"/>
    <x v="8"/>
    <n v="2014"/>
  </r>
  <r>
    <x v="0"/>
    <x v="0"/>
    <s v="Paseo"/>
    <s v="Medium"/>
    <n v="1598"/>
    <n v="10"/>
    <n v="7"/>
    <n v="11186"/>
    <n v="894.88"/>
    <n v="10291.120000000001"/>
    <n v="7990"/>
    <n v="2301.12"/>
    <d v="2014-08-01T00:00:00"/>
    <x v="8"/>
    <x v="8"/>
    <n v="2014"/>
  </r>
  <r>
    <x v="0"/>
    <x v="0"/>
    <s v="Paseo"/>
    <s v="Medium"/>
    <n v="2409"/>
    <n v="10"/>
    <n v="7"/>
    <n v="16863"/>
    <n v="1349.04"/>
    <n v="15513.96"/>
    <n v="12045"/>
    <n v="3468.96"/>
    <d v="2013-09-01T00:00:00"/>
    <x v="3"/>
    <x v="3"/>
    <n v="2013"/>
  </r>
  <r>
    <x v="0"/>
    <x v="3"/>
    <s v="Paseo"/>
    <s v="Medium"/>
    <n v="1946"/>
    <n v="10"/>
    <n v="7"/>
    <n v="13622"/>
    <n v="1089.76"/>
    <n v="12532.24"/>
    <n v="9730"/>
    <n v="2802.24"/>
    <d v="2013-12-01T00:00:00"/>
    <x v="0"/>
    <x v="0"/>
    <n v="2013"/>
  </r>
  <r>
    <x v="0"/>
    <x v="4"/>
    <s v="Velo"/>
    <s v="Medium"/>
    <n v="2907"/>
    <n v="120"/>
    <n v="7"/>
    <n v="20349"/>
    <n v="1627.92"/>
    <n v="18721.080000000002"/>
    <n v="14535"/>
    <n v="4186.08"/>
    <d v="2014-06-01T00:00:00"/>
    <x v="1"/>
    <x v="1"/>
    <n v="2014"/>
  </r>
  <r>
    <x v="0"/>
    <x v="0"/>
    <s v="Velo"/>
    <s v="Medium"/>
    <n v="2338"/>
    <n v="120"/>
    <n v="7"/>
    <n v="16366"/>
    <n v="1309.28"/>
    <n v="15056.72"/>
    <n v="11690"/>
    <n v="3366.72"/>
    <d v="2014-06-01T00:00:00"/>
    <x v="1"/>
    <x v="1"/>
    <n v="2014"/>
  </r>
  <r>
    <x v="0"/>
    <x v="0"/>
    <s v="VTT"/>
    <s v="Medium"/>
    <n v="2338"/>
    <n v="250"/>
    <n v="7"/>
    <n v="16366"/>
    <n v="1309.28"/>
    <n v="15056.72"/>
    <n v="11690"/>
    <n v="3366.72"/>
    <d v="2014-06-01T00:00:00"/>
    <x v="1"/>
    <x v="1"/>
    <n v="2014"/>
  </r>
  <r>
    <x v="0"/>
    <x v="4"/>
    <s v="Amarilla"/>
    <s v="Medium"/>
    <n v="2907"/>
    <n v="260"/>
    <n v="7"/>
    <n v="20349"/>
    <n v="1627.92"/>
    <n v="18721.080000000002"/>
    <n v="14535"/>
    <n v="4186.08"/>
    <d v="2014-06-01T00:00:00"/>
    <x v="1"/>
    <x v="1"/>
    <n v="2014"/>
  </r>
  <r>
    <x v="0"/>
    <x v="1"/>
    <s v="Montana"/>
    <s v="Medium"/>
    <n v="1611"/>
    <n v="5"/>
    <n v="7"/>
    <n v="11277"/>
    <n v="1014.93"/>
    <n v="10262.07"/>
    <n v="8055"/>
    <n v="2207.0700000000002"/>
    <d v="2013-12-01T00:00:00"/>
    <x v="0"/>
    <x v="0"/>
    <n v="2013"/>
  </r>
  <r>
    <x v="0"/>
    <x v="1"/>
    <s v="Carretera"/>
    <s v="Medium"/>
    <n v="819"/>
    <n v="3"/>
    <n v="7"/>
    <n v="5733"/>
    <n v="515.97"/>
    <n v="5217.03"/>
    <n v="4095"/>
    <n v="1122.03"/>
    <d v="2014-07-01T00:00:00"/>
    <x v="9"/>
    <x v="9"/>
    <n v="2014"/>
  </r>
  <r>
    <x v="0"/>
    <x v="3"/>
    <s v="Carretera"/>
    <s v="Medium"/>
    <n v="521"/>
    <n v="3"/>
    <n v="7"/>
    <n v="3647"/>
    <n v="328.23"/>
    <n v="3318.77"/>
    <n v="2605"/>
    <n v="713.77"/>
    <d v="2014-12-01T00:00:00"/>
    <x v="0"/>
    <x v="0"/>
    <n v="2014"/>
  </r>
  <r>
    <x v="0"/>
    <x v="0"/>
    <s v="Paseo"/>
    <s v="Medium"/>
    <n v="360"/>
    <n v="10"/>
    <n v="7"/>
    <n v="2520"/>
    <n v="226.8"/>
    <n v="2293.1999999999998"/>
    <n v="1800"/>
    <n v="493.2"/>
    <d v="2014-10-01T00:00:00"/>
    <x v="6"/>
    <x v="6"/>
    <n v="2014"/>
  </r>
  <r>
    <x v="0"/>
    <x v="0"/>
    <s v="VTT"/>
    <s v="Medium"/>
    <n v="360"/>
    <n v="250"/>
    <n v="7"/>
    <n v="2520"/>
    <n v="226.8"/>
    <n v="2293.1999999999998"/>
    <n v="1800"/>
    <n v="493.2"/>
    <d v="2014-10-01T00:00:00"/>
    <x v="6"/>
    <x v="6"/>
    <n v="2014"/>
  </r>
  <r>
    <x v="0"/>
    <x v="3"/>
    <s v="VTT"/>
    <s v="Medium"/>
    <n v="521"/>
    <n v="250"/>
    <n v="7"/>
    <n v="3647"/>
    <n v="328.23"/>
    <n v="3318.77"/>
    <n v="2605"/>
    <n v="713.77"/>
    <d v="2014-12-01T00:00:00"/>
    <x v="0"/>
    <x v="0"/>
    <n v="2014"/>
  </r>
  <r>
    <x v="0"/>
    <x v="4"/>
    <s v="Montana"/>
    <s v="High"/>
    <n v="2328"/>
    <n v="5"/>
    <n v="7"/>
    <n v="16296"/>
    <n v="1629.6"/>
    <n v="14666.4"/>
    <n v="11640"/>
    <n v="3026.4"/>
    <d v="2014-09-01T00:00:00"/>
    <x v="3"/>
    <x v="3"/>
    <n v="2014"/>
  </r>
  <r>
    <x v="0"/>
    <x v="0"/>
    <s v="Velo"/>
    <s v="High"/>
    <n v="2665"/>
    <n v="120"/>
    <n v="7"/>
    <n v="18655"/>
    <n v="1865.5"/>
    <n v="16789.5"/>
    <n v="13325"/>
    <n v="3464.5"/>
    <d v="2014-11-01T00:00:00"/>
    <x v="2"/>
    <x v="2"/>
    <n v="2014"/>
  </r>
  <r>
    <x v="0"/>
    <x v="2"/>
    <s v="Paseo"/>
    <s v="High"/>
    <n v="2532"/>
    <n v="10"/>
    <n v="7"/>
    <n v="17724"/>
    <n v="1949.64"/>
    <n v="15774.36"/>
    <n v="12660"/>
    <n v="3114.36"/>
    <d v="2014-04-01T00:00:00"/>
    <x v="7"/>
    <x v="7"/>
    <n v="2014"/>
  </r>
  <r>
    <x v="0"/>
    <x v="4"/>
    <s v="VTT"/>
    <s v="High"/>
    <n v="1579"/>
    <n v="250"/>
    <n v="7"/>
    <n v="11053"/>
    <n v="1215.83"/>
    <n v="9837.17"/>
    <n v="7895"/>
    <n v="1942.17"/>
    <d v="2014-03-01T00:00:00"/>
    <x v="5"/>
    <x v="5"/>
    <n v="2014"/>
  </r>
  <r>
    <x v="0"/>
    <x v="3"/>
    <s v="Carretera"/>
    <s v="High"/>
    <n v="2706"/>
    <n v="3"/>
    <n v="7"/>
    <n v="18942"/>
    <n v="2083.62"/>
    <n v="16858.38"/>
    <n v="13530"/>
    <n v="3328.38"/>
    <d v="2013-11-01T00:00:00"/>
    <x v="2"/>
    <x v="2"/>
    <n v="2013"/>
  </r>
  <r>
    <x v="0"/>
    <x v="1"/>
    <s v="Velo"/>
    <s v="High"/>
    <n v="1808"/>
    <n v="120"/>
    <n v="7"/>
    <n v="12656"/>
    <n v="1392.16"/>
    <n v="11263.84"/>
    <n v="9040"/>
    <n v="2223.84"/>
    <d v="2014-11-01T00:00:00"/>
    <x v="2"/>
    <x v="2"/>
    <n v="2014"/>
  </r>
  <r>
    <x v="0"/>
    <x v="4"/>
    <s v="Paseo"/>
    <s v="High"/>
    <n v="380"/>
    <n v="10"/>
    <n v="7"/>
    <n v="2660"/>
    <n v="292.60000000000002"/>
    <n v="2367.4"/>
    <n v="1900"/>
    <n v="467.4"/>
    <d v="2013-09-01T00:00:00"/>
    <x v="3"/>
    <x v="3"/>
    <n v="2013"/>
  </r>
  <r>
    <x v="0"/>
    <x v="3"/>
    <s v="Montana"/>
    <s v="High"/>
    <n v="2420"/>
    <n v="5"/>
    <n v="7"/>
    <n v="16940"/>
    <n v="2032.8"/>
    <n v="14907.2"/>
    <n v="12100"/>
    <n v="2807.2"/>
    <d v="2014-09-01T00:00:00"/>
    <x v="3"/>
    <x v="3"/>
    <n v="2014"/>
  </r>
  <r>
    <x v="0"/>
    <x v="1"/>
    <s v="Montana"/>
    <s v="High"/>
    <n v="2734"/>
    <n v="5"/>
    <n v="7"/>
    <n v="19138"/>
    <n v="2296.56"/>
    <n v="16841.439999999999"/>
    <n v="13670"/>
    <n v="3171.44"/>
    <d v="2014-10-01T00:00:00"/>
    <x v="6"/>
    <x v="6"/>
    <n v="2014"/>
  </r>
  <r>
    <x v="0"/>
    <x v="2"/>
    <s v="Amarilla"/>
    <s v="High"/>
    <n v="3421.5"/>
    <n v="260"/>
    <n v="7"/>
    <n v="23950.5"/>
    <n v="2874.06"/>
    <n v="21076.44"/>
    <n v="17107.5"/>
    <n v="3968.94"/>
    <d v="2014-07-01T00:00:00"/>
    <x v="9"/>
    <x v="9"/>
    <n v="2014"/>
  </r>
  <r>
    <x v="0"/>
    <x v="1"/>
    <s v="Amarilla"/>
    <s v="High"/>
    <n v="2734"/>
    <n v="260"/>
    <n v="7"/>
    <n v="19138"/>
    <n v="2296.56"/>
    <n v="16841.439999999999"/>
    <n v="13670"/>
    <n v="3171.44"/>
    <d v="2014-10-01T00:00:00"/>
    <x v="6"/>
    <x v="6"/>
    <n v="2014"/>
  </r>
  <r>
    <x v="0"/>
    <x v="2"/>
    <s v="VTT"/>
    <s v="High"/>
    <n v="1491"/>
    <n v="250"/>
    <n v="7"/>
    <n v="10437"/>
    <n v="1252.44"/>
    <n v="9184.56"/>
    <n v="7455"/>
    <n v="1729.56"/>
    <d v="2014-03-01T00:00:00"/>
    <x v="5"/>
    <x v="5"/>
    <n v="2014"/>
  </r>
  <r>
    <x v="0"/>
    <x v="4"/>
    <s v="Montana"/>
    <s v="High"/>
    <n v="1298"/>
    <n v="5"/>
    <n v="7"/>
    <n v="9086"/>
    <n v="1181.18"/>
    <n v="7904.82"/>
    <n v="6490"/>
    <n v="1414.82"/>
    <d v="2014-02-01T00:00:00"/>
    <x v="4"/>
    <x v="4"/>
    <n v="2014"/>
  </r>
  <r>
    <x v="0"/>
    <x v="4"/>
    <s v="Paseo"/>
    <s v="High"/>
    <n v="1438.5"/>
    <n v="10"/>
    <n v="7"/>
    <n v="10069.5"/>
    <n v="1309.0350000000001"/>
    <n v="8760.4650000000001"/>
    <n v="7192.5"/>
    <n v="1567.9649999999999"/>
    <d v="2014-01-01T00:00:00"/>
    <x v="10"/>
    <x v="10"/>
    <n v="2014"/>
  </r>
  <r>
    <x v="0"/>
    <x v="2"/>
    <s v="Paseo"/>
    <s v="High"/>
    <n v="2696"/>
    <n v="10"/>
    <n v="7"/>
    <n v="18872"/>
    <n v="2453.36"/>
    <n v="16418.64"/>
    <n v="13480"/>
    <n v="2938.64"/>
    <d v="2014-08-01T00:00:00"/>
    <x v="8"/>
    <x v="8"/>
    <n v="2014"/>
  </r>
  <r>
    <x v="0"/>
    <x v="2"/>
    <s v="Velo"/>
    <s v="High"/>
    <n v="1190"/>
    <n v="120"/>
    <n v="7"/>
    <n v="8330"/>
    <n v="1082.9000000000001"/>
    <n v="7247.1"/>
    <n v="5950"/>
    <n v="1297.0999999999999"/>
    <d v="2014-06-01T00:00:00"/>
    <x v="1"/>
    <x v="1"/>
    <n v="2014"/>
  </r>
  <r>
    <x v="0"/>
    <x v="2"/>
    <s v="Amarilla"/>
    <s v="High"/>
    <n v="1190"/>
    <n v="260"/>
    <n v="7"/>
    <n v="8330"/>
    <n v="1082.9000000000001"/>
    <n v="7247.1"/>
    <n v="5950"/>
    <n v="1297.0999999999999"/>
    <d v="2014-06-01T00:00:00"/>
    <x v="1"/>
    <x v="1"/>
    <n v="2014"/>
  </r>
  <r>
    <x v="0"/>
    <x v="4"/>
    <s v="Carretera"/>
    <s v="High"/>
    <n v="2996"/>
    <n v="3"/>
    <n v="7"/>
    <n v="20972"/>
    <n v="2936.08"/>
    <n v="18035.919999999998"/>
    <n v="14980"/>
    <n v="3055.92"/>
    <d v="2013-10-01T00:00:00"/>
    <x v="6"/>
    <x v="6"/>
    <n v="2013"/>
  </r>
  <r>
    <x v="0"/>
    <x v="0"/>
    <s v="Carretera"/>
    <s v="High"/>
    <n v="280"/>
    <n v="3"/>
    <n v="7"/>
    <n v="1960"/>
    <n v="274.39999999999998"/>
    <n v="1685.6"/>
    <n v="1400"/>
    <n v="285.60000000000002"/>
    <d v="2014-12-01T00:00:00"/>
    <x v="0"/>
    <x v="0"/>
    <n v="2014"/>
  </r>
  <r>
    <x v="0"/>
    <x v="2"/>
    <s v="Montana"/>
    <s v="High"/>
    <n v="293"/>
    <n v="5"/>
    <n v="7"/>
    <n v="2051"/>
    <n v="287.14"/>
    <n v="1763.86"/>
    <n v="1465"/>
    <n v="298.86"/>
    <d v="2014-02-01T00:00:00"/>
    <x v="4"/>
    <x v="4"/>
    <n v="2014"/>
  </r>
  <r>
    <x v="0"/>
    <x v="4"/>
    <s v="Montana"/>
    <s v="High"/>
    <n v="2996"/>
    <n v="5"/>
    <n v="7"/>
    <n v="20972"/>
    <n v="2936.08"/>
    <n v="18035.919999999998"/>
    <n v="14980"/>
    <n v="3055.92"/>
    <d v="2013-10-01T00:00:00"/>
    <x v="6"/>
    <x v="6"/>
    <n v="2013"/>
  </r>
  <r>
    <x v="0"/>
    <x v="0"/>
    <s v="VTT"/>
    <s v="High"/>
    <n v="280"/>
    <n v="250"/>
    <n v="7"/>
    <n v="1960"/>
    <n v="274.39999999999998"/>
    <n v="1685.6"/>
    <n v="1400"/>
    <n v="285.60000000000002"/>
    <d v="2014-12-01T00:00:00"/>
    <x v="0"/>
    <x v="0"/>
    <n v="2014"/>
  </r>
  <r>
    <x v="0"/>
    <x v="1"/>
    <s v="Montana"/>
    <s v="High"/>
    <n v="388"/>
    <n v="5"/>
    <n v="7"/>
    <n v="2716"/>
    <n v="380.24"/>
    <n v="2335.7600000000002"/>
    <n v="1940"/>
    <n v="395.76"/>
    <d v="2014-09-01T00:00:00"/>
    <x v="3"/>
    <x v="3"/>
    <n v="2014"/>
  </r>
  <r>
    <x v="0"/>
    <x v="3"/>
    <s v="Montana"/>
    <s v="High"/>
    <n v="1727"/>
    <n v="5"/>
    <n v="7"/>
    <n v="12089"/>
    <n v="1692.46"/>
    <n v="10396.540000000001"/>
    <n v="8635"/>
    <n v="1761.54"/>
    <d v="2013-10-01T00:00:00"/>
    <x v="6"/>
    <x v="6"/>
    <n v="2013"/>
  </r>
  <r>
    <x v="0"/>
    <x v="2"/>
    <s v="Paseo"/>
    <s v="High"/>
    <n v="1731"/>
    <n v="10"/>
    <n v="7"/>
    <n v="12117"/>
    <n v="1696.38"/>
    <n v="10420.620000000001"/>
    <n v="8655"/>
    <n v="1765.62"/>
    <d v="2014-10-01T00:00:00"/>
    <x v="6"/>
    <x v="6"/>
    <n v="2014"/>
  </r>
  <r>
    <x v="0"/>
    <x v="3"/>
    <s v="VTT"/>
    <s v="High"/>
    <n v="2903"/>
    <n v="250"/>
    <n v="7"/>
    <n v="20321"/>
    <n v="2844.94"/>
    <n v="17476.060000000001"/>
    <n v="14515"/>
    <n v="2961.06"/>
    <d v="2014-03-01T00:00:00"/>
    <x v="5"/>
    <x v="5"/>
    <n v="2014"/>
  </r>
  <r>
    <x v="0"/>
    <x v="2"/>
    <s v="Amarilla"/>
    <s v="High"/>
    <n v="1731"/>
    <n v="260"/>
    <n v="7"/>
    <n v="12117"/>
    <n v="1696.38"/>
    <n v="10420.620000000001"/>
    <n v="8655"/>
    <n v="1765.62"/>
    <d v="2014-10-01T00:00:00"/>
    <x v="6"/>
    <x v="6"/>
    <n v="2014"/>
  </r>
  <r>
    <x v="0"/>
    <x v="3"/>
    <s v="Amarilla"/>
    <s v="High"/>
    <n v="1727"/>
    <n v="260"/>
    <n v="7"/>
    <n v="12089"/>
    <n v="1692.46"/>
    <n v="10396.540000000001"/>
    <n v="8635"/>
    <n v="1761.54"/>
    <d v="2013-10-01T00:00:00"/>
    <x v="6"/>
    <x v="6"/>
    <n v="2013"/>
  </r>
  <r>
    <x v="0"/>
    <x v="3"/>
    <s v="Paseo"/>
    <s v="High"/>
    <n v="2535"/>
    <n v="10"/>
    <n v="7"/>
    <n v="17745"/>
    <n v="2661.75"/>
    <n v="15083.25"/>
    <n v="12675"/>
    <n v="2408.25"/>
    <d v="2014-04-01T00:00:00"/>
    <x v="7"/>
    <x v="7"/>
    <n v="2014"/>
  </r>
  <r>
    <x v="0"/>
    <x v="3"/>
    <s v="Montana"/>
    <s v="High"/>
    <n v="1368"/>
    <n v="5"/>
    <n v="7"/>
    <n v="9576"/>
    <n v="1436.4"/>
    <n v="8139.6"/>
    <n v="6840"/>
    <n v="1299.5999999999999"/>
    <d v="2014-02-01T00:00:00"/>
    <x v="4"/>
    <x v="4"/>
    <n v="2014"/>
  </r>
  <r>
    <x v="0"/>
    <x v="1"/>
    <s v="Paseo"/>
    <s v="High"/>
    <n v="723"/>
    <n v="10"/>
    <n v="7"/>
    <n v="5061"/>
    <n v="759.15"/>
    <n v="4301.8500000000004"/>
    <n v="3615"/>
    <n v="686.85"/>
    <d v="2014-04-01T00:00:00"/>
    <x v="7"/>
    <x v="7"/>
    <n v="2014"/>
  </r>
  <r>
    <x v="1"/>
    <x v="2"/>
    <s v="Carretera"/>
    <s v="None"/>
    <n v="2178"/>
    <n v="3"/>
    <n v="15"/>
    <n v="32670"/>
    <n v="0"/>
    <n v="32670"/>
    <n v="21780"/>
    <n v="10890"/>
    <d v="2014-06-01T00:00:00"/>
    <x v="1"/>
    <x v="1"/>
    <n v="2014"/>
  </r>
  <r>
    <x v="1"/>
    <x v="0"/>
    <s v="Carretera"/>
    <s v="None"/>
    <n v="888"/>
    <n v="3"/>
    <n v="15"/>
    <n v="13320"/>
    <n v="0"/>
    <n v="13320"/>
    <n v="8880"/>
    <n v="4440"/>
    <d v="2014-06-01T00:00:00"/>
    <x v="1"/>
    <x v="1"/>
    <n v="2014"/>
  </r>
  <r>
    <x v="1"/>
    <x v="3"/>
    <s v="Carretera"/>
    <s v="None"/>
    <n v="2470"/>
    <n v="3"/>
    <n v="15"/>
    <n v="37050"/>
    <n v="0"/>
    <n v="37050"/>
    <n v="24700"/>
    <n v="12350"/>
    <d v="2014-06-01T00:00:00"/>
    <x v="1"/>
    <x v="1"/>
    <n v="2014"/>
  </r>
  <r>
    <x v="1"/>
    <x v="0"/>
    <s v="Montana"/>
    <s v="None"/>
    <n v="921"/>
    <n v="5"/>
    <n v="15"/>
    <n v="13815"/>
    <n v="0"/>
    <n v="13815"/>
    <n v="9210"/>
    <n v="4605"/>
    <d v="2014-03-01T00:00:00"/>
    <x v="5"/>
    <x v="5"/>
    <n v="2014"/>
  </r>
  <r>
    <x v="2"/>
    <x v="1"/>
    <s v="Montana"/>
    <s v="None"/>
    <n v="2518"/>
    <n v="5"/>
    <n v="12"/>
    <n v="30216"/>
    <n v="0"/>
    <n v="30216"/>
    <n v="7554"/>
    <n v="22662"/>
    <d v="2014-06-01T00:00:00"/>
    <x v="1"/>
    <x v="1"/>
    <n v="2014"/>
  </r>
  <r>
    <x v="2"/>
    <x v="0"/>
    <s v="Montana"/>
    <s v="None"/>
    <n v="1545"/>
    <n v="5"/>
    <n v="12"/>
    <n v="18540"/>
    <n v="0"/>
    <n v="18540"/>
    <n v="4635"/>
    <n v="13905"/>
    <d v="2014-06-01T00:00:00"/>
    <x v="1"/>
    <x v="1"/>
    <n v="2014"/>
  </r>
  <r>
    <x v="1"/>
    <x v="3"/>
    <s v="Montana"/>
    <s v="None"/>
    <n v="2470"/>
    <n v="5"/>
    <n v="15"/>
    <n v="37050"/>
    <n v="0"/>
    <n v="37050"/>
    <n v="24700"/>
    <n v="12350"/>
    <d v="2014-06-01T00:00:00"/>
    <x v="1"/>
    <x v="1"/>
    <n v="2014"/>
  </r>
  <r>
    <x v="3"/>
    <x v="1"/>
    <s v="Montana"/>
    <s v="None"/>
    <n v="2665.5"/>
    <n v="5"/>
    <n v="125"/>
    <n v="333187.5"/>
    <n v="0"/>
    <n v="333187.5"/>
    <n v="319860"/>
    <n v="13327.5"/>
    <d v="2014-07-01T00:00:00"/>
    <x v="9"/>
    <x v="9"/>
    <n v="2014"/>
  </r>
  <r>
    <x v="4"/>
    <x v="3"/>
    <s v="Montana"/>
    <s v="None"/>
    <n v="958"/>
    <n v="5"/>
    <n v="300"/>
    <n v="287400"/>
    <n v="0"/>
    <n v="287400"/>
    <n v="239500"/>
    <n v="47900"/>
    <d v="2014-08-01T00:00:00"/>
    <x v="8"/>
    <x v="8"/>
    <n v="2014"/>
  </r>
  <r>
    <x v="3"/>
    <x v="1"/>
    <s v="Montana"/>
    <s v="None"/>
    <n v="345"/>
    <n v="5"/>
    <n v="125"/>
    <n v="43125"/>
    <n v="0"/>
    <n v="43125"/>
    <n v="41400"/>
    <n v="1725"/>
    <d v="2013-10-01T00:00:00"/>
    <x v="6"/>
    <x v="6"/>
    <n v="2013"/>
  </r>
  <r>
    <x v="1"/>
    <x v="4"/>
    <s v="Montana"/>
    <s v="None"/>
    <n v="615"/>
    <n v="5"/>
    <n v="15"/>
    <n v="9225"/>
    <n v="0"/>
    <n v="9225"/>
    <n v="6150"/>
    <n v="3075"/>
    <d v="2014-12-01T00:00:00"/>
    <x v="0"/>
    <x v="0"/>
    <n v="2014"/>
  </r>
  <r>
    <x v="3"/>
    <x v="2"/>
    <s v="Velo"/>
    <s v="None"/>
    <n v="1804"/>
    <n v="120"/>
    <n v="125"/>
    <n v="225500"/>
    <n v="0"/>
    <n v="225500"/>
    <n v="216480"/>
    <n v="9020"/>
    <d v="2014-02-01T00:00:00"/>
    <x v="4"/>
    <x v="4"/>
    <n v="2014"/>
  </r>
  <r>
    <x v="2"/>
    <x v="0"/>
    <s v="Velo"/>
    <s v="None"/>
    <n v="2161"/>
    <n v="120"/>
    <n v="12"/>
    <n v="25932"/>
    <n v="0"/>
    <n v="25932"/>
    <n v="6483"/>
    <n v="19449"/>
    <d v="2014-03-01T00:00:00"/>
    <x v="5"/>
    <x v="5"/>
    <n v="2014"/>
  </r>
  <r>
    <x v="2"/>
    <x v="0"/>
    <s v="Velo"/>
    <s v="None"/>
    <n v="1545"/>
    <n v="120"/>
    <n v="12"/>
    <n v="18540"/>
    <n v="0"/>
    <n v="18540"/>
    <n v="4635"/>
    <n v="13905"/>
    <d v="2014-06-01T00:00:00"/>
    <x v="1"/>
    <x v="1"/>
    <n v="2014"/>
  </r>
  <r>
    <x v="3"/>
    <x v="4"/>
    <s v="Velo"/>
    <s v="None"/>
    <n v="2821"/>
    <n v="120"/>
    <n v="125"/>
    <n v="352625"/>
    <n v="0"/>
    <n v="352625"/>
    <n v="338520"/>
    <n v="14105"/>
    <d v="2014-08-01T00:00:00"/>
    <x v="8"/>
    <x v="8"/>
    <n v="2014"/>
  </r>
  <r>
    <x v="3"/>
    <x v="1"/>
    <s v="Velo"/>
    <s v="None"/>
    <n v="345"/>
    <n v="120"/>
    <n v="125"/>
    <n v="43125"/>
    <n v="0"/>
    <n v="43125"/>
    <n v="41400"/>
    <n v="1725"/>
    <d v="2013-10-01T00:00:00"/>
    <x v="6"/>
    <x v="6"/>
    <n v="2013"/>
  </r>
  <r>
    <x v="4"/>
    <x v="1"/>
    <s v="VTT"/>
    <s v="None"/>
    <n v="2001"/>
    <n v="250"/>
    <n v="300"/>
    <n v="600300"/>
    <n v="0"/>
    <n v="600300"/>
    <n v="500250"/>
    <n v="100050"/>
    <d v="2014-02-01T00:00:00"/>
    <x v="4"/>
    <x v="4"/>
    <n v="2014"/>
  </r>
  <r>
    <x v="2"/>
    <x v="0"/>
    <s v="VTT"/>
    <s v="None"/>
    <n v="2838"/>
    <n v="250"/>
    <n v="12"/>
    <n v="34056"/>
    <n v="0"/>
    <n v="34056"/>
    <n v="8514"/>
    <n v="25542"/>
    <d v="2014-04-01T00:00:00"/>
    <x v="7"/>
    <x v="7"/>
    <n v="2014"/>
  </r>
  <r>
    <x v="1"/>
    <x v="2"/>
    <s v="VTT"/>
    <s v="None"/>
    <n v="2178"/>
    <n v="250"/>
    <n v="15"/>
    <n v="32670"/>
    <n v="0"/>
    <n v="32670"/>
    <n v="21780"/>
    <n v="10890"/>
    <d v="2014-06-01T00:00:00"/>
    <x v="1"/>
    <x v="1"/>
    <n v="2014"/>
  </r>
  <r>
    <x v="1"/>
    <x v="0"/>
    <s v="VTT"/>
    <s v="None"/>
    <n v="888"/>
    <n v="250"/>
    <n v="15"/>
    <n v="13320"/>
    <n v="0"/>
    <n v="13320"/>
    <n v="8880"/>
    <n v="4440"/>
    <d v="2014-06-01T00:00:00"/>
    <x v="1"/>
    <x v="1"/>
    <n v="2014"/>
  </r>
  <r>
    <x v="4"/>
    <x v="2"/>
    <s v="VTT"/>
    <s v="None"/>
    <n v="2151"/>
    <n v="250"/>
    <n v="300"/>
    <n v="645300"/>
    <n v="0"/>
    <n v="645300"/>
    <n v="537750"/>
    <n v="107550"/>
    <d v="2014-09-01T00:00:00"/>
    <x v="3"/>
    <x v="3"/>
    <n v="2014"/>
  </r>
  <r>
    <x v="2"/>
    <x v="4"/>
    <s v="Amarilla"/>
    <s v="None"/>
    <n v="1953"/>
    <n v="260"/>
    <n v="12"/>
    <n v="23436"/>
    <n v="0"/>
    <n v="23436"/>
    <n v="5859"/>
    <n v="17577"/>
    <d v="2014-04-01T00:00:00"/>
    <x v="7"/>
    <x v="7"/>
    <n v="2014"/>
  </r>
  <r>
    <x v="3"/>
    <x v="0"/>
    <s v="Amarilla"/>
    <s v="None"/>
    <n v="4219.5"/>
    <n v="260"/>
    <n v="125"/>
    <n v="527437.5"/>
    <n v="0"/>
    <n v="527437.5"/>
    <n v="506340"/>
    <n v="21097.5"/>
    <d v="2014-04-01T00:00:00"/>
    <x v="7"/>
    <x v="7"/>
    <n v="2014"/>
  </r>
  <r>
    <x v="2"/>
    <x v="4"/>
    <s v="Amarilla"/>
    <s v="None"/>
    <n v="2141"/>
    <n v="260"/>
    <n v="12"/>
    <n v="25692"/>
    <n v="0"/>
    <n v="25692"/>
    <n v="6423"/>
    <n v="19269"/>
    <d v="2014-08-01T00:00:00"/>
    <x v="8"/>
    <x v="8"/>
    <n v="2014"/>
  </r>
  <r>
    <x v="1"/>
    <x v="4"/>
    <s v="Amarilla"/>
    <s v="None"/>
    <n v="615"/>
    <n v="260"/>
    <n v="15"/>
    <n v="9225"/>
    <n v="0"/>
    <n v="9225"/>
    <n v="6150"/>
    <n v="3075"/>
    <d v="2014-12-01T00:00:00"/>
    <x v="0"/>
    <x v="0"/>
    <n v="2014"/>
  </r>
  <r>
    <x v="2"/>
    <x v="4"/>
    <s v="Carretera"/>
    <s v="Low"/>
    <n v="1858"/>
    <n v="3"/>
    <n v="12"/>
    <n v="22296"/>
    <n v="222.96"/>
    <n v="22073.040000000001"/>
    <n v="5574"/>
    <n v="16499.04"/>
    <d v="2014-02-01T00:00:00"/>
    <x v="4"/>
    <x v="4"/>
    <n v="2014"/>
  </r>
  <r>
    <x v="2"/>
    <x v="1"/>
    <s v="Carretera"/>
    <s v="Low"/>
    <n v="1445"/>
    <n v="3"/>
    <n v="12"/>
    <n v="17340"/>
    <n v="173.4"/>
    <n v="17166.599999999999"/>
    <n v="4335"/>
    <n v="12831.6"/>
    <d v="2014-09-01T00:00:00"/>
    <x v="3"/>
    <x v="3"/>
    <n v="2014"/>
  </r>
  <r>
    <x v="3"/>
    <x v="4"/>
    <s v="Carretera"/>
    <s v="Low"/>
    <n v="330"/>
    <n v="3"/>
    <n v="125"/>
    <n v="41250"/>
    <n v="412.5"/>
    <n v="40837.5"/>
    <n v="39600"/>
    <n v="1237.5"/>
    <d v="2013-09-01T00:00:00"/>
    <x v="3"/>
    <x v="3"/>
    <n v="2013"/>
  </r>
  <r>
    <x v="2"/>
    <x v="2"/>
    <s v="Carretera"/>
    <s v="Low"/>
    <n v="2671"/>
    <n v="3"/>
    <n v="12"/>
    <n v="32052"/>
    <n v="320.52"/>
    <n v="31731.48"/>
    <n v="8013"/>
    <n v="23718.48"/>
    <d v="2014-09-01T00:00:00"/>
    <x v="3"/>
    <x v="3"/>
    <n v="2014"/>
  </r>
  <r>
    <x v="2"/>
    <x v="0"/>
    <s v="Carretera"/>
    <s v="Low"/>
    <n v="766"/>
    <n v="3"/>
    <n v="12"/>
    <n v="9192"/>
    <n v="91.92"/>
    <n v="9100.08"/>
    <n v="2298"/>
    <n v="6802.08"/>
    <d v="2013-10-01T00:00:00"/>
    <x v="6"/>
    <x v="6"/>
    <n v="2013"/>
  </r>
  <r>
    <x v="4"/>
    <x v="3"/>
    <s v="Carretera"/>
    <s v="Low"/>
    <n v="494"/>
    <n v="3"/>
    <n v="300"/>
    <n v="148200"/>
    <n v="1482"/>
    <n v="146718"/>
    <n v="123500"/>
    <n v="23218"/>
    <d v="2013-10-01T00:00:00"/>
    <x v="6"/>
    <x v="6"/>
    <n v="2013"/>
  </r>
  <r>
    <x v="1"/>
    <x v="3"/>
    <s v="Montana"/>
    <s v="Low"/>
    <n v="2214"/>
    <n v="5"/>
    <n v="15"/>
    <n v="33210"/>
    <n v="332.1"/>
    <n v="32877.9"/>
    <n v="22140"/>
    <n v="10737.9"/>
    <d v="2014-03-01T00:00:00"/>
    <x v="5"/>
    <x v="5"/>
    <n v="2014"/>
  </r>
  <r>
    <x v="4"/>
    <x v="4"/>
    <s v="Montana"/>
    <s v="Low"/>
    <n v="2301"/>
    <n v="5"/>
    <n v="300"/>
    <n v="690300"/>
    <n v="6903"/>
    <n v="683397"/>
    <n v="575250"/>
    <n v="108147"/>
    <d v="2014-04-01T00:00:00"/>
    <x v="7"/>
    <x v="7"/>
    <n v="2014"/>
  </r>
  <r>
    <x v="4"/>
    <x v="4"/>
    <s v="Montana"/>
    <s v="Low"/>
    <n v="2498"/>
    <n v="5"/>
    <n v="300"/>
    <n v="749400"/>
    <n v="7494"/>
    <n v="741906"/>
    <n v="624500"/>
    <n v="117406"/>
    <d v="2013-09-01T00:00:00"/>
    <x v="3"/>
    <x v="3"/>
    <n v="2013"/>
  </r>
  <r>
    <x v="3"/>
    <x v="4"/>
    <s v="Montana"/>
    <s v="Low"/>
    <n v="663"/>
    <n v="5"/>
    <n v="125"/>
    <n v="82875"/>
    <n v="828.75"/>
    <n v="82046.25"/>
    <n v="79560"/>
    <n v="2486.25"/>
    <d v="2013-10-01T00:00:00"/>
    <x v="6"/>
    <x v="6"/>
    <n v="2013"/>
  </r>
  <r>
    <x v="3"/>
    <x v="1"/>
    <s v="Velo"/>
    <s v="Low"/>
    <n v="923"/>
    <n v="120"/>
    <n v="125"/>
    <n v="115375"/>
    <n v="1153.75"/>
    <n v="114221.25"/>
    <n v="110760"/>
    <n v="3461.25"/>
    <d v="2014-08-01T00:00:00"/>
    <x v="8"/>
    <x v="8"/>
    <n v="2014"/>
  </r>
  <r>
    <x v="3"/>
    <x v="4"/>
    <s v="Velo"/>
    <s v="Low"/>
    <n v="663"/>
    <n v="120"/>
    <n v="125"/>
    <n v="82875"/>
    <n v="828.75"/>
    <n v="82046.25"/>
    <n v="79560"/>
    <n v="2486.25"/>
    <d v="2013-10-01T00:00:00"/>
    <x v="6"/>
    <x v="6"/>
    <n v="2013"/>
  </r>
  <r>
    <x v="3"/>
    <x v="4"/>
    <s v="VTT"/>
    <s v="Low"/>
    <n v="727"/>
    <n v="250"/>
    <n v="125"/>
    <n v="90875"/>
    <n v="908.75"/>
    <n v="89966.25"/>
    <n v="87240"/>
    <n v="2726.25"/>
    <d v="2014-06-01T00:00:00"/>
    <x v="1"/>
    <x v="1"/>
    <n v="2014"/>
  </r>
  <r>
    <x v="3"/>
    <x v="2"/>
    <s v="VTT"/>
    <s v="Low"/>
    <n v="787"/>
    <n v="250"/>
    <n v="125"/>
    <n v="98375"/>
    <n v="983.75"/>
    <n v="97391.25"/>
    <n v="94440"/>
    <n v="2951.25"/>
    <d v="2014-06-01T00:00:00"/>
    <x v="1"/>
    <x v="1"/>
    <n v="2014"/>
  </r>
  <r>
    <x v="4"/>
    <x v="0"/>
    <s v="VTT"/>
    <s v="Low"/>
    <n v="986"/>
    <n v="250"/>
    <n v="300"/>
    <n v="295800"/>
    <n v="2958"/>
    <n v="292842"/>
    <n v="246500"/>
    <n v="46342"/>
    <d v="2014-09-01T00:00:00"/>
    <x v="3"/>
    <x v="3"/>
    <n v="2014"/>
  </r>
  <r>
    <x v="4"/>
    <x v="3"/>
    <s v="VTT"/>
    <s v="Low"/>
    <n v="494"/>
    <n v="250"/>
    <n v="300"/>
    <n v="148200"/>
    <n v="1482"/>
    <n v="146718"/>
    <n v="123500"/>
    <n v="23218"/>
    <d v="2013-10-01T00:00:00"/>
    <x v="6"/>
    <x v="6"/>
    <n v="2013"/>
  </r>
  <r>
    <x v="3"/>
    <x v="2"/>
    <s v="VTT"/>
    <s v="Low"/>
    <n v="1744"/>
    <n v="250"/>
    <n v="125"/>
    <n v="218000"/>
    <n v="2180"/>
    <n v="215820"/>
    <n v="209280"/>
    <n v="6540"/>
    <d v="2014-11-01T00:00:00"/>
    <x v="2"/>
    <x v="2"/>
    <n v="2014"/>
  </r>
  <r>
    <x v="2"/>
    <x v="4"/>
    <s v="Amarilla"/>
    <s v="Low"/>
    <n v="1989"/>
    <n v="260"/>
    <n v="12"/>
    <n v="23868"/>
    <n v="238.68"/>
    <n v="23629.32"/>
    <n v="5967"/>
    <n v="17662.32"/>
    <d v="2013-09-01T00:00:00"/>
    <x v="3"/>
    <x v="3"/>
    <n v="2013"/>
  </r>
  <r>
    <x v="1"/>
    <x v="2"/>
    <s v="Amarilla"/>
    <s v="Low"/>
    <n v="321"/>
    <n v="260"/>
    <n v="15"/>
    <n v="4815"/>
    <n v="48.15"/>
    <n v="4766.8500000000004"/>
    <n v="3210"/>
    <n v="1556.85"/>
    <d v="2013-11-01T00:00:00"/>
    <x v="2"/>
    <x v="2"/>
    <n v="2013"/>
  </r>
  <r>
    <x v="3"/>
    <x v="1"/>
    <s v="Carretera"/>
    <s v="Low"/>
    <n v="742.5"/>
    <n v="3"/>
    <n v="125"/>
    <n v="92812.5"/>
    <n v="1856.25"/>
    <n v="90956.25"/>
    <n v="89100"/>
    <n v="1856.25"/>
    <d v="2014-04-01T00:00:00"/>
    <x v="7"/>
    <x v="7"/>
    <n v="2014"/>
  </r>
  <r>
    <x v="2"/>
    <x v="1"/>
    <s v="Carretera"/>
    <s v="Low"/>
    <n v="1295"/>
    <n v="3"/>
    <n v="12"/>
    <n v="15540"/>
    <n v="310.8"/>
    <n v="15229.2"/>
    <n v="3885"/>
    <n v="11344.2"/>
    <d v="2014-10-01T00:00:00"/>
    <x v="6"/>
    <x v="6"/>
    <n v="2014"/>
  </r>
  <r>
    <x v="4"/>
    <x v="0"/>
    <s v="Carretera"/>
    <s v="Low"/>
    <n v="214"/>
    <n v="3"/>
    <n v="300"/>
    <n v="64200"/>
    <n v="1284"/>
    <n v="62916"/>
    <n v="53500"/>
    <n v="9416"/>
    <d v="2013-10-01T00:00:00"/>
    <x v="6"/>
    <x v="6"/>
    <n v="2013"/>
  </r>
  <r>
    <x v="2"/>
    <x v="4"/>
    <s v="Montana"/>
    <s v="Low"/>
    <n v="1142"/>
    <n v="5"/>
    <n v="12"/>
    <n v="13704"/>
    <n v="274.08"/>
    <n v="13429.92"/>
    <n v="3426"/>
    <n v="10003.92"/>
    <d v="2014-06-01T00:00:00"/>
    <x v="1"/>
    <x v="1"/>
    <n v="2014"/>
  </r>
  <r>
    <x v="2"/>
    <x v="3"/>
    <s v="Montana"/>
    <s v="Low"/>
    <n v="690"/>
    <n v="5"/>
    <n v="12"/>
    <n v="8280"/>
    <n v="165.6"/>
    <n v="8114.4"/>
    <n v="2070"/>
    <n v="6044.4"/>
    <d v="2014-11-01T00:00:00"/>
    <x v="2"/>
    <x v="2"/>
    <n v="2014"/>
  </r>
  <r>
    <x v="3"/>
    <x v="3"/>
    <s v="Montana"/>
    <s v="Low"/>
    <n v="1660"/>
    <n v="5"/>
    <n v="125"/>
    <n v="207500"/>
    <n v="4150"/>
    <n v="203350"/>
    <n v="199200"/>
    <n v="4150"/>
    <d v="2013-11-01T00:00:00"/>
    <x v="2"/>
    <x v="2"/>
    <n v="2013"/>
  </r>
  <r>
    <x v="3"/>
    <x v="0"/>
    <s v="Velo"/>
    <s v="Low"/>
    <n v="809"/>
    <n v="120"/>
    <n v="125"/>
    <n v="101125"/>
    <n v="2022.5"/>
    <n v="99102.5"/>
    <n v="97080"/>
    <n v="2022.5"/>
    <d v="2013-10-01T00:00:00"/>
    <x v="6"/>
    <x v="6"/>
    <n v="2013"/>
  </r>
  <r>
    <x v="3"/>
    <x v="3"/>
    <s v="Velo"/>
    <s v="Low"/>
    <n v="2145"/>
    <n v="120"/>
    <n v="125"/>
    <n v="268125"/>
    <n v="5362.5"/>
    <n v="262762.5"/>
    <n v="257400"/>
    <n v="5362.5"/>
    <d v="2013-10-01T00:00:00"/>
    <x v="6"/>
    <x v="6"/>
    <n v="2013"/>
  </r>
  <r>
    <x v="2"/>
    <x v="2"/>
    <s v="Velo"/>
    <s v="Low"/>
    <n v="1055"/>
    <n v="120"/>
    <n v="12"/>
    <n v="12660"/>
    <n v="253.2"/>
    <n v="12406.8"/>
    <n v="3165"/>
    <n v="9241.7999999999993"/>
    <d v="2014-12-01T00:00:00"/>
    <x v="0"/>
    <x v="0"/>
    <n v="2014"/>
  </r>
  <r>
    <x v="2"/>
    <x v="3"/>
    <s v="Velo"/>
    <s v="Low"/>
    <n v="1084"/>
    <n v="120"/>
    <n v="12"/>
    <n v="13008"/>
    <n v="260.16000000000003"/>
    <n v="12747.84"/>
    <n v="3252"/>
    <n v="9495.84"/>
    <d v="2014-12-01T00:00:00"/>
    <x v="0"/>
    <x v="0"/>
    <n v="2014"/>
  </r>
  <r>
    <x v="3"/>
    <x v="3"/>
    <s v="VTT"/>
    <s v="Low"/>
    <n v="662"/>
    <n v="250"/>
    <n v="125"/>
    <n v="82750"/>
    <n v="1655"/>
    <n v="81095"/>
    <n v="79440"/>
    <n v="1655"/>
    <d v="2014-06-01T00:00:00"/>
    <x v="1"/>
    <x v="1"/>
    <n v="2014"/>
  </r>
  <r>
    <x v="4"/>
    <x v="0"/>
    <s v="VTT"/>
    <s v="Low"/>
    <n v="214"/>
    <n v="250"/>
    <n v="300"/>
    <n v="64200"/>
    <n v="1284"/>
    <n v="62916"/>
    <n v="53500"/>
    <n v="9416"/>
    <d v="2013-10-01T00:00:00"/>
    <x v="6"/>
    <x v="6"/>
    <n v="2013"/>
  </r>
  <r>
    <x v="3"/>
    <x v="1"/>
    <s v="VTT"/>
    <s v="Low"/>
    <n v="2729"/>
    <n v="250"/>
    <n v="125"/>
    <n v="341125"/>
    <n v="6822.5"/>
    <n v="334302.5"/>
    <n v="327480"/>
    <n v="6822.5"/>
    <d v="2014-12-01T00:00:00"/>
    <x v="0"/>
    <x v="0"/>
    <n v="2014"/>
  </r>
  <r>
    <x v="4"/>
    <x v="0"/>
    <s v="Amarilla"/>
    <s v="Low"/>
    <n v="259"/>
    <n v="260"/>
    <n v="300"/>
    <n v="77700"/>
    <n v="1554"/>
    <n v="76146"/>
    <n v="64750"/>
    <n v="11396"/>
    <d v="2014-03-01T00:00:00"/>
    <x v="5"/>
    <x v="5"/>
    <n v="2014"/>
  </r>
  <r>
    <x v="4"/>
    <x v="3"/>
    <s v="Amarilla"/>
    <s v="Low"/>
    <n v="1101"/>
    <n v="260"/>
    <n v="300"/>
    <n v="330300"/>
    <n v="6606"/>
    <n v="323694"/>
    <n v="275250"/>
    <n v="48444"/>
    <d v="2014-03-01T00:00:00"/>
    <x v="5"/>
    <x v="5"/>
    <n v="2014"/>
  </r>
  <r>
    <x v="3"/>
    <x v="0"/>
    <s v="Amarilla"/>
    <s v="Low"/>
    <n v="2276"/>
    <n v="260"/>
    <n v="125"/>
    <n v="284500"/>
    <n v="5690"/>
    <n v="278810"/>
    <n v="273120"/>
    <n v="5690"/>
    <d v="2014-05-01T00:00:00"/>
    <x v="11"/>
    <x v="11"/>
    <n v="2014"/>
  </r>
  <r>
    <x v="4"/>
    <x v="1"/>
    <s v="Amarilla"/>
    <s v="Low"/>
    <n v="1916"/>
    <n v="260"/>
    <n v="300"/>
    <n v="574800"/>
    <n v="11496"/>
    <n v="563304"/>
    <n v="479000"/>
    <n v="84304"/>
    <d v="2014-12-01T00:00:00"/>
    <x v="0"/>
    <x v="0"/>
    <n v="2014"/>
  </r>
  <r>
    <x v="3"/>
    <x v="2"/>
    <s v="Carretera"/>
    <s v="Low"/>
    <n v="4243.5"/>
    <n v="3"/>
    <n v="125"/>
    <n v="530437.5"/>
    <n v="15913.125"/>
    <n v="514524.375"/>
    <n v="509220"/>
    <n v="5304.375"/>
    <d v="2014-04-01T00:00:00"/>
    <x v="7"/>
    <x v="7"/>
    <n v="2014"/>
  </r>
  <r>
    <x v="4"/>
    <x v="0"/>
    <s v="Carretera"/>
    <s v="Low"/>
    <n v="689"/>
    <n v="3"/>
    <n v="300"/>
    <n v="206700"/>
    <n v="6201"/>
    <n v="200499"/>
    <n v="172250"/>
    <n v="28249"/>
    <d v="2014-06-01T00:00:00"/>
    <x v="1"/>
    <x v="1"/>
    <n v="2014"/>
  </r>
  <r>
    <x v="2"/>
    <x v="4"/>
    <s v="Carretera"/>
    <s v="Low"/>
    <n v="1947"/>
    <n v="3"/>
    <n v="12"/>
    <n v="23364"/>
    <n v="700.92"/>
    <n v="22663.08"/>
    <n v="5841"/>
    <n v="16822.080000000002"/>
    <d v="2014-09-01T00:00:00"/>
    <x v="3"/>
    <x v="3"/>
    <n v="2014"/>
  </r>
  <r>
    <x v="2"/>
    <x v="1"/>
    <s v="Carretera"/>
    <s v="Low"/>
    <n v="908"/>
    <n v="3"/>
    <n v="12"/>
    <n v="10896"/>
    <n v="326.88"/>
    <n v="10569.12"/>
    <n v="2724"/>
    <n v="7845.12"/>
    <d v="2013-12-01T00:00:00"/>
    <x v="0"/>
    <x v="0"/>
    <n v="2013"/>
  </r>
  <r>
    <x v="2"/>
    <x v="2"/>
    <s v="Montana"/>
    <s v="Low"/>
    <n v="1901"/>
    <n v="5"/>
    <n v="12"/>
    <n v="22812"/>
    <n v="684.36"/>
    <n v="22127.64"/>
    <n v="5703"/>
    <n v="16424.64"/>
    <d v="2014-06-01T00:00:00"/>
    <x v="1"/>
    <x v="1"/>
    <n v="2014"/>
  </r>
  <r>
    <x v="3"/>
    <x v="2"/>
    <s v="Montana"/>
    <s v="Low"/>
    <n v="1287"/>
    <n v="5"/>
    <n v="125"/>
    <n v="160875"/>
    <n v="4826.25"/>
    <n v="156048.75"/>
    <n v="154440"/>
    <n v="1608.75"/>
    <d v="2014-12-01T00:00:00"/>
    <x v="0"/>
    <x v="0"/>
    <n v="2014"/>
  </r>
  <r>
    <x v="3"/>
    <x v="0"/>
    <s v="Montana"/>
    <s v="Low"/>
    <n v="1706"/>
    <n v="5"/>
    <n v="125"/>
    <n v="213250"/>
    <n v="6397.5"/>
    <n v="206852.5"/>
    <n v="204720"/>
    <n v="2132.5"/>
    <d v="2014-12-01T00:00:00"/>
    <x v="0"/>
    <x v="0"/>
    <n v="2014"/>
  </r>
  <r>
    <x v="3"/>
    <x v="1"/>
    <s v="Velo"/>
    <s v="Low"/>
    <n v="2009"/>
    <n v="120"/>
    <n v="125"/>
    <n v="251125"/>
    <n v="7533.75"/>
    <n v="243591.25"/>
    <n v="241080"/>
    <n v="2511.25"/>
    <d v="2014-10-01T00:00:00"/>
    <x v="6"/>
    <x v="6"/>
    <n v="2014"/>
  </r>
  <r>
    <x v="4"/>
    <x v="4"/>
    <s v="VTT"/>
    <s v="Low"/>
    <n v="2844"/>
    <n v="250"/>
    <n v="300"/>
    <n v="853200"/>
    <n v="25596"/>
    <n v="827604"/>
    <n v="711000"/>
    <n v="116604"/>
    <d v="2014-02-01T00:00:00"/>
    <x v="4"/>
    <x v="4"/>
    <n v="2014"/>
  </r>
  <r>
    <x v="2"/>
    <x v="3"/>
    <s v="VTT"/>
    <s v="Low"/>
    <n v="1916"/>
    <n v="250"/>
    <n v="12"/>
    <n v="22992"/>
    <n v="689.76"/>
    <n v="22302.240000000002"/>
    <n v="5748"/>
    <n v="16554.240000000002"/>
    <d v="2014-04-01T00:00:00"/>
    <x v="7"/>
    <x v="7"/>
    <n v="2014"/>
  </r>
  <r>
    <x v="3"/>
    <x v="0"/>
    <s v="VTT"/>
    <s v="Low"/>
    <n v="1570"/>
    <n v="250"/>
    <n v="125"/>
    <n v="196250"/>
    <n v="5887.5"/>
    <n v="190362.5"/>
    <n v="188400"/>
    <n v="1962.5"/>
    <d v="2014-06-01T00:00:00"/>
    <x v="1"/>
    <x v="1"/>
    <n v="2014"/>
  </r>
  <r>
    <x v="4"/>
    <x v="1"/>
    <s v="VTT"/>
    <s v="Low"/>
    <n v="1874"/>
    <n v="250"/>
    <n v="300"/>
    <n v="562200"/>
    <n v="16866"/>
    <n v="545334"/>
    <n v="468500"/>
    <n v="76834"/>
    <d v="2014-08-01T00:00:00"/>
    <x v="8"/>
    <x v="8"/>
    <n v="2014"/>
  </r>
  <r>
    <x v="1"/>
    <x v="0"/>
    <s v="VTT"/>
    <s v="Low"/>
    <n v="1945"/>
    <n v="250"/>
    <n v="15"/>
    <n v="29175"/>
    <n v="875.25"/>
    <n v="28299.75"/>
    <n v="19450"/>
    <n v="8849.75"/>
    <d v="2013-10-01T00:00:00"/>
    <x v="6"/>
    <x v="6"/>
    <n v="2013"/>
  </r>
  <r>
    <x v="2"/>
    <x v="0"/>
    <s v="VTT"/>
    <s v="Low"/>
    <n v="2479"/>
    <n v="250"/>
    <n v="12"/>
    <n v="29748"/>
    <n v="892.44"/>
    <n v="28855.56"/>
    <n v="7437"/>
    <n v="21418.560000000001"/>
    <d v="2014-01-01T00:00:00"/>
    <x v="10"/>
    <x v="10"/>
    <n v="2014"/>
  </r>
  <r>
    <x v="1"/>
    <x v="3"/>
    <s v="Montana"/>
    <s v="Low"/>
    <n v="2031"/>
    <n v="5"/>
    <n v="15"/>
    <n v="30465"/>
    <n v="1218.5999999999999"/>
    <n v="29246.400000000001"/>
    <n v="20310"/>
    <n v="8936.4"/>
    <d v="2014-10-01T00:00:00"/>
    <x v="6"/>
    <x v="6"/>
    <n v="2014"/>
  </r>
  <r>
    <x v="4"/>
    <x v="0"/>
    <s v="Carretera"/>
    <s v="Low"/>
    <n v="2021"/>
    <n v="3"/>
    <n v="300"/>
    <n v="606300"/>
    <n v="24252"/>
    <n v="582048"/>
    <n v="505250"/>
    <n v="76798"/>
    <d v="2014-10-01T00:00:00"/>
    <x v="6"/>
    <x v="6"/>
    <n v="2014"/>
  </r>
  <r>
    <x v="1"/>
    <x v="1"/>
    <s v="Montana"/>
    <s v="Low"/>
    <n v="1967"/>
    <n v="5"/>
    <n v="15"/>
    <n v="29505"/>
    <n v="1180.2"/>
    <n v="28324.799999999999"/>
    <n v="19670"/>
    <n v="8654.7999999999993"/>
    <d v="2014-03-01T00:00:00"/>
    <x v="5"/>
    <x v="5"/>
    <n v="2014"/>
  </r>
  <r>
    <x v="4"/>
    <x v="0"/>
    <s v="Montana"/>
    <s v="Low"/>
    <n v="1859"/>
    <n v="5"/>
    <n v="300"/>
    <n v="557700"/>
    <n v="22308"/>
    <n v="535392"/>
    <n v="464750"/>
    <n v="70642"/>
    <d v="2014-08-01T00:00:00"/>
    <x v="8"/>
    <x v="8"/>
    <n v="2014"/>
  </r>
  <r>
    <x v="4"/>
    <x v="0"/>
    <s v="Montana"/>
    <s v="Low"/>
    <n v="2021"/>
    <n v="5"/>
    <n v="300"/>
    <n v="606300"/>
    <n v="24252"/>
    <n v="582048"/>
    <n v="505250"/>
    <n v="76798"/>
    <d v="2014-10-01T00:00:00"/>
    <x v="6"/>
    <x v="6"/>
    <n v="2014"/>
  </r>
  <r>
    <x v="3"/>
    <x v="3"/>
    <s v="Montana"/>
    <s v="Low"/>
    <n v="1138"/>
    <n v="5"/>
    <n v="125"/>
    <n v="142250"/>
    <n v="5690"/>
    <n v="136560"/>
    <n v="136560"/>
    <n v="0"/>
    <d v="2014-12-01T00:00:00"/>
    <x v="0"/>
    <x v="0"/>
    <n v="2014"/>
  </r>
  <r>
    <x v="2"/>
    <x v="4"/>
    <s v="Velo"/>
    <s v="Low"/>
    <n v="1465"/>
    <n v="120"/>
    <n v="12"/>
    <n v="17580"/>
    <n v="703.2"/>
    <n v="16876.8"/>
    <n v="4395"/>
    <n v="12481.8"/>
    <d v="2014-03-01T00:00:00"/>
    <x v="5"/>
    <x v="5"/>
    <n v="2014"/>
  </r>
  <r>
    <x v="2"/>
    <x v="2"/>
    <s v="VTT"/>
    <s v="Low"/>
    <n v="866"/>
    <n v="250"/>
    <n v="12"/>
    <n v="10392"/>
    <n v="415.68"/>
    <n v="9976.32"/>
    <n v="2598"/>
    <n v="7378.32"/>
    <d v="2014-05-01T00:00:00"/>
    <x v="11"/>
    <x v="11"/>
    <n v="2014"/>
  </r>
  <r>
    <x v="1"/>
    <x v="3"/>
    <s v="VTT"/>
    <s v="Low"/>
    <n v="1514"/>
    <n v="250"/>
    <n v="15"/>
    <n v="22710"/>
    <n v="908.4"/>
    <n v="21801.599999999999"/>
    <n v="15140"/>
    <n v="6661.6"/>
    <d v="2013-10-01T00:00:00"/>
    <x v="6"/>
    <x v="6"/>
    <n v="2013"/>
  </r>
  <r>
    <x v="3"/>
    <x v="3"/>
    <s v="Amarilla"/>
    <s v="Low"/>
    <n v="1074"/>
    <n v="260"/>
    <n v="125"/>
    <n v="134250"/>
    <n v="5370"/>
    <n v="128880"/>
    <n v="128880"/>
    <n v="0"/>
    <d v="2014-04-01T00:00:00"/>
    <x v="7"/>
    <x v="7"/>
    <n v="2014"/>
  </r>
  <r>
    <x v="1"/>
    <x v="4"/>
    <s v="Amarilla"/>
    <s v="Low"/>
    <n v="671"/>
    <n v="260"/>
    <n v="15"/>
    <n v="10065"/>
    <n v="402.6"/>
    <n v="9662.4"/>
    <n v="6710"/>
    <n v="2952.4"/>
    <d v="2013-10-01T00:00:00"/>
    <x v="6"/>
    <x v="6"/>
    <n v="2013"/>
  </r>
  <r>
    <x v="2"/>
    <x v="1"/>
    <s v="Velo"/>
    <s v="Medium"/>
    <n v="2431"/>
    <n v="120"/>
    <n v="12"/>
    <n v="29172"/>
    <n v="1458.6"/>
    <n v="27713.4"/>
    <n v="7293"/>
    <n v="20420.400000000001"/>
    <d v="2014-12-01T00:00:00"/>
    <x v="0"/>
    <x v="0"/>
    <n v="2014"/>
  </r>
  <r>
    <x v="2"/>
    <x v="3"/>
    <s v="Amarilla"/>
    <s v="Medium"/>
    <n v="1123"/>
    <n v="260"/>
    <n v="12"/>
    <n v="13476"/>
    <n v="673.8"/>
    <n v="12802.2"/>
    <n v="3369"/>
    <n v="9433.2000000000007"/>
    <d v="2014-08-01T00:00:00"/>
    <x v="8"/>
    <x v="8"/>
    <n v="2014"/>
  </r>
  <r>
    <x v="2"/>
    <x v="2"/>
    <s v="Carretera"/>
    <s v="Medium"/>
    <n v="1865"/>
    <n v="3"/>
    <n v="12"/>
    <n v="22380"/>
    <n v="1119"/>
    <n v="21261"/>
    <n v="5595"/>
    <n v="15666"/>
    <d v="2014-02-01T00:00:00"/>
    <x v="4"/>
    <x v="4"/>
    <n v="2014"/>
  </r>
  <r>
    <x v="2"/>
    <x v="0"/>
    <s v="Carretera"/>
    <s v="Medium"/>
    <n v="1116"/>
    <n v="3"/>
    <n v="12"/>
    <n v="13392"/>
    <n v="669.6"/>
    <n v="12722.4"/>
    <n v="3348"/>
    <n v="9374.4"/>
    <d v="2014-02-01T00:00:00"/>
    <x v="4"/>
    <x v="4"/>
    <n v="2014"/>
  </r>
  <r>
    <x v="4"/>
    <x v="4"/>
    <s v="Carretera"/>
    <s v="Medium"/>
    <n v="991"/>
    <n v="3"/>
    <n v="300"/>
    <n v="297300"/>
    <n v="14865"/>
    <n v="282435"/>
    <n v="247750"/>
    <n v="34685"/>
    <d v="2014-06-01T00:00:00"/>
    <x v="1"/>
    <x v="1"/>
    <n v="2014"/>
  </r>
  <r>
    <x v="1"/>
    <x v="3"/>
    <s v="Carretera"/>
    <s v="Medium"/>
    <n v="2791"/>
    <n v="3"/>
    <n v="15"/>
    <n v="41865"/>
    <n v="2093.25"/>
    <n v="39771.75"/>
    <n v="27910"/>
    <n v="11861.75"/>
    <d v="2014-11-01T00:00:00"/>
    <x v="2"/>
    <x v="2"/>
    <n v="2014"/>
  </r>
  <r>
    <x v="3"/>
    <x v="4"/>
    <s v="Montana"/>
    <s v="Medium"/>
    <n v="3627"/>
    <n v="5"/>
    <n v="125"/>
    <n v="453375"/>
    <n v="22668.75"/>
    <n v="430706.25"/>
    <n v="435240"/>
    <n v="-4533.75"/>
    <d v="2014-07-01T00:00:00"/>
    <x v="9"/>
    <x v="9"/>
    <n v="2014"/>
  </r>
  <r>
    <x v="2"/>
    <x v="0"/>
    <s v="Montana"/>
    <s v="Medium"/>
    <n v="2342"/>
    <n v="5"/>
    <n v="12"/>
    <n v="28104"/>
    <n v="1405.2"/>
    <n v="26698.799999999999"/>
    <n v="7026"/>
    <n v="19672.8"/>
    <d v="2014-11-01T00:00:00"/>
    <x v="2"/>
    <x v="2"/>
    <n v="2014"/>
  </r>
  <r>
    <x v="4"/>
    <x v="3"/>
    <s v="Montana"/>
    <s v="Medium"/>
    <n v="1100"/>
    <n v="5"/>
    <n v="300"/>
    <n v="330000"/>
    <n v="16500"/>
    <n v="313500"/>
    <n v="275000"/>
    <n v="38500"/>
    <d v="2013-12-01T00:00:00"/>
    <x v="0"/>
    <x v="0"/>
    <n v="2013"/>
  </r>
  <r>
    <x v="1"/>
    <x v="4"/>
    <s v="Velo"/>
    <s v="Medium"/>
    <n v="555"/>
    <n v="120"/>
    <n v="15"/>
    <n v="8325"/>
    <n v="416.25"/>
    <n v="7908.75"/>
    <n v="5550"/>
    <n v="2358.75"/>
    <d v="2014-01-01T00:00:00"/>
    <x v="10"/>
    <x v="10"/>
    <n v="2014"/>
  </r>
  <r>
    <x v="1"/>
    <x v="3"/>
    <s v="Velo"/>
    <s v="Medium"/>
    <n v="2861"/>
    <n v="120"/>
    <n v="15"/>
    <n v="42915"/>
    <n v="2145.75"/>
    <n v="40769.25"/>
    <n v="28610"/>
    <n v="12159.25"/>
    <d v="2014-01-01T00:00:00"/>
    <x v="10"/>
    <x v="10"/>
    <n v="2014"/>
  </r>
  <r>
    <x v="3"/>
    <x v="0"/>
    <s v="Velo"/>
    <s v="Medium"/>
    <n v="807"/>
    <n v="120"/>
    <n v="125"/>
    <n v="100875"/>
    <n v="5043.75"/>
    <n v="95831.25"/>
    <n v="96840"/>
    <n v="-1008.75"/>
    <d v="2014-02-01T00:00:00"/>
    <x v="4"/>
    <x v="4"/>
    <n v="2014"/>
  </r>
  <r>
    <x v="3"/>
    <x v="4"/>
    <s v="Velo"/>
    <s v="Medium"/>
    <n v="861"/>
    <n v="120"/>
    <n v="125"/>
    <n v="107625"/>
    <n v="5381.25"/>
    <n v="102243.75"/>
    <n v="103320"/>
    <n v="-1076.25"/>
    <d v="2014-10-01T00:00:00"/>
    <x v="6"/>
    <x v="6"/>
    <n v="2014"/>
  </r>
  <r>
    <x v="3"/>
    <x v="2"/>
    <s v="Velo"/>
    <s v="Medium"/>
    <n v="704"/>
    <n v="120"/>
    <n v="125"/>
    <n v="88000"/>
    <n v="4400"/>
    <n v="83600"/>
    <n v="84480"/>
    <n v="-880"/>
    <d v="2013-10-01T00:00:00"/>
    <x v="6"/>
    <x v="6"/>
    <n v="2013"/>
  </r>
  <r>
    <x v="4"/>
    <x v="0"/>
    <s v="Velo"/>
    <s v="Medium"/>
    <n v="1250"/>
    <n v="120"/>
    <n v="300"/>
    <n v="375000"/>
    <n v="18750"/>
    <n v="356250"/>
    <n v="312500"/>
    <n v="43750"/>
    <d v="2014-12-01T00:00:00"/>
    <x v="0"/>
    <x v="0"/>
    <n v="2014"/>
  </r>
  <r>
    <x v="4"/>
    <x v="0"/>
    <s v="Amarilla"/>
    <s v="Medium"/>
    <n v="1250"/>
    <n v="260"/>
    <n v="300"/>
    <n v="375000"/>
    <n v="18750"/>
    <n v="356250"/>
    <n v="312500"/>
    <n v="43750"/>
    <d v="2014-12-01T00:00:00"/>
    <x v="0"/>
    <x v="0"/>
    <n v="2014"/>
  </r>
  <r>
    <x v="1"/>
    <x v="1"/>
    <s v="Carretera"/>
    <s v="Medium"/>
    <n v="2844"/>
    <n v="3"/>
    <n v="15"/>
    <n v="42660"/>
    <n v="2559.6"/>
    <n v="40100.400000000001"/>
    <n v="28440"/>
    <n v="11660.4"/>
    <d v="2014-06-01T00:00:00"/>
    <x v="1"/>
    <x v="1"/>
    <n v="2014"/>
  </r>
  <r>
    <x v="2"/>
    <x v="3"/>
    <s v="Carretera"/>
    <s v="Medium"/>
    <n v="562"/>
    <n v="3"/>
    <n v="12"/>
    <n v="6744"/>
    <n v="404.64"/>
    <n v="6339.36"/>
    <n v="1686"/>
    <n v="4653.3599999999997"/>
    <d v="2014-09-01T00:00:00"/>
    <x v="3"/>
    <x v="3"/>
    <n v="2014"/>
  </r>
  <r>
    <x v="2"/>
    <x v="1"/>
    <s v="Carretera"/>
    <s v="Medium"/>
    <n v="2299"/>
    <n v="3"/>
    <n v="12"/>
    <n v="27588"/>
    <n v="1655.28"/>
    <n v="25932.720000000001"/>
    <n v="6897"/>
    <n v="19035.72"/>
    <d v="2013-10-01T00:00:00"/>
    <x v="6"/>
    <x v="6"/>
    <n v="2013"/>
  </r>
  <r>
    <x v="1"/>
    <x v="4"/>
    <s v="Carretera"/>
    <s v="Medium"/>
    <n v="2030"/>
    <n v="3"/>
    <n v="15"/>
    <n v="30450"/>
    <n v="1827"/>
    <n v="28623"/>
    <n v="20300"/>
    <n v="8323"/>
    <d v="2014-11-01T00:00:00"/>
    <x v="2"/>
    <x v="2"/>
    <n v="2014"/>
  </r>
  <r>
    <x v="3"/>
    <x v="0"/>
    <s v="Carretera"/>
    <s v="Medium"/>
    <n v="887"/>
    <n v="3"/>
    <n v="125"/>
    <n v="110875"/>
    <n v="6652.5"/>
    <n v="104222.5"/>
    <n v="106440"/>
    <n v="-2217.5"/>
    <d v="2013-12-01T00:00:00"/>
    <x v="0"/>
    <x v="0"/>
    <n v="2013"/>
  </r>
  <r>
    <x v="2"/>
    <x v="4"/>
    <s v="Montana"/>
    <s v="Medium"/>
    <n v="2723"/>
    <n v="5"/>
    <n v="12"/>
    <n v="32676"/>
    <n v="1960.56"/>
    <n v="30715.439999999999"/>
    <n v="8169"/>
    <n v="22546.44"/>
    <d v="2014-11-01T00:00:00"/>
    <x v="2"/>
    <x v="2"/>
    <n v="2014"/>
  </r>
  <r>
    <x v="3"/>
    <x v="1"/>
    <s v="Velo"/>
    <s v="Medium"/>
    <n v="952"/>
    <n v="120"/>
    <n v="125"/>
    <n v="119000"/>
    <n v="7140"/>
    <n v="111860"/>
    <n v="114240"/>
    <n v="-2380"/>
    <d v="2014-02-01T00:00:00"/>
    <x v="4"/>
    <x v="4"/>
    <n v="2014"/>
  </r>
  <r>
    <x v="3"/>
    <x v="4"/>
    <s v="Velo"/>
    <s v="Medium"/>
    <n v="2755"/>
    <n v="120"/>
    <n v="125"/>
    <n v="344375"/>
    <n v="20662.5"/>
    <n v="323712.5"/>
    <n v="330600"/>
    <n v="-6887.5"/>
    <d v="2014-02-01T00:00:00"/>
    <x v="4"/>
    <x v="4"/>
    <n v="2014"/>
  </r>
  <r>
    <x v="1"/>
    <x v="0"/>
    <s v="Velo"/>
    <s v="Medium"/>
    <n v="1530"/>
    <n v="120"/>
    <n v="15"/>
    <n v="22950"/>
    <n v="1377"/>
    <n v="21573"/>
    <n v="15300"/>
    <n v="6273"/>
    <d v="2014-05-01T00:00:00"/>
    <x v="11"/>
    <x v="11"/>
    <n v="2014"/>
  </r>
  <r>
    <x v="4"/>
    <x v="2"/>
    <s v="Velo"/>
    <s v="Medium"/>
    <n v="1221"/>
    <n v="120"/>
    <n v="300"/>
    <n v="366300"/>
    <n v="21978"/>
    <n v="344322"/>
    <n v="305250"/>
    <n v="39072"/>
    <d v="2013-10-01T00:00:00"/>
    <x v="6"/>
    <x v="6"/>
    <n v="2013"/>
  </r>
  <r>
    <x v="1"/>
    <x v="1"/>
    <s v="VTT"/>
    <s v="Medium"/>
    <n v="2844"/>
    <n v="250"/>
    <n v="15"/>
    <n v="42660"/>
    <n v="2559.6"/>
    <n v="40100.400000000001"/>
    <n v="28440"/>
    <n v="11660.4"/>
    <d v="2014-06-01T00:00:00"/>
    <x v="1"/>
    <x v="1"/>
    <n v="2014"/>
  </r>
  <r>
    <x v="4"/>
    <x v="2"/>
    <s v="VTT"/>
    <s v="Medium"/>
    <n v="1221"/>
    <n v="250"/>
    <n v="300"/>
    <n v="366300"/>
    <n v="21978"/>
    <n v="344322"/>
    <n v="305250"/>
    <n v="39072"/>
    <d v="2013-10-01T00:00:00"/>
    <x v="6"/>
    <x v="6"/>
    <n v="2013"/>
  </r>
  <r>
    <x v="4"/>
    <x v="1"/>
    <s v="VTT"/>
    <s v="Medium"/>
    <n v="2436"/>
    <n v="250"/>
    <n v="300"/>
    <n v="730800"/>
    <n v="43848"/>
    <n v="686952"/>
    <n v="609000"/>
    <n v="77952"/>
    <d v="2013-12-01T00:00:00"/>
    <x v="0"/>
    <x v="0"/>
    <n v="2013"/>
  </r>
  <r>
    <x v="3"/>
    <x v="2"/>
    <s v="Amarilla"/>
    <s v="Medium"/>
    <n v="1987.5"/>
    <n v="260"/>
    <n v="125"/>
    <n v="248437.5"/>
    <n v="14906.25"/>
    <n v="233531.25"/>
    <n v="238500"/>
    <n v="-4968.75"/>
    <d v="2014-01-01T00:00:00"/>
    <x v="10"/>
    <x v="10"/>
    <n v="2014"/>
  </r>
  <r>
    <x v="1"/>
    <x v="4"/>
    <s v="VTT"/>
    <s v="Medium"/>
    <n v="1153"/>
    <n v="250"/>
    <n v="15"/>
    <n v="17295"/>
    <n v="1037.7"/>
    <n v="16257.3"/>
    <n v="11530"/>
    <n v="4727.3"/>
    <d v="2014-10-01T00:00:00"/>
    <x v="6"/>
    <x v="6"/>
    <n v="2014"/>
  </r>
  <r>
    <x v="2"/>
    <x v="3"/>
    <s v="Carretera"/>
    <s v="Medium"/>
    <n v="727"/>
    <n v="3"/>
    <n v="12"/>
    <n v="8724"/>
    <n v="610.67999999999995"/>
    <n v="8113.32"/>
    <n v="2181"/>
    <n v="5932.32"/>
    <d v="2014-02-01T00:00:00"/>
    <x v="4"/>
    <x v="4"/>
    <n v="2014"/>
  </r>
  <r>
    <x v="2"/>
    <x v="1"/>
    <s v="Carretera"/>
    <s v="Medium"/>
    <n v="1884"/>
    <n v="3"/>
    <n v="12"/>
    <n v="22608"/>
    <n v="1582.56"/>
    <n v="21025.439999999999"/>
    <n v="5652"/>
    <n v="15373.44"/>
    <d v="2014-08-01T00:00:00"/>
    <x v="8"/>
    <x v="8"/>
    <n v="2014"/>
  </r>
  <r>
    <x v="2"/>
    <x v="3"/>
    <s v="Montana"/>
    <s v="Medium"/>
    <n v="2340"/>
    <n v="5"/>
    <n v="12"/>
    <n v="28080"/>
    <n v="1965.6"/>
    <n v="26114.400000000001"/>
    <n v="7020"/>
    <n v="19094.400000000001"/>
    <d v="2014-01-01T00:00:00"/>
    <x v="10"/>
    <x v="10"/>
    <n v="2014"/>
  </r>
  <r>
    <x v="2"/>
    <x v="2"/>
    <s v="Montana"/>
    <s v="Medium"/>
    <n v="2342"/>
    <n v="5"/>
    <n v="12"/>
    <n v="28104"/>
    <n v="1967.28"/>
    <n v="26136.720000000001"/>
    <n v="7026"/>
    <n v="19110.72"/>
    <d v="2014-11-01T00:00:00"/>
    <x v="2"/>
    <x v="2"/>
    <n v="2014"/>
  </r>
  <r>
    <x v="1"/>
    <x v="1"/>
    <s v="Velo"/>
    <s v="Medium"/>
    <n v="1262"/>
    <n v="120"/>
    <n v="15"/>
    <n v="18930"/>
    <n v="1325.1"/>
    <n v="17604.900000000001"/>
    <n v="12620"/>
    <n v="4984.8999999999996"/>
    <d v="2014-05-01T00:00:00"/>
    <x v="11"/>
    <x v="11"/>
    <n v="2014"/>
  </r>
  <r>
    <x v="2"/>
    <x v="2"/>
    <s v="VTT"/>
    <s v="Medium"/>
    <n v="1738.5"/>
    <n v="250"/>
    <n v="12"/>
    <n v="20862"/>
    <n v="1460.34"/>
    <n v="19401.66"/>
    <n v="5215.5"/>
    <n v="14186.16"/>
    <d v="2014-04-01T00:00:00"/>
    <x v="7"/>
    <x v="7"/>
    <n v="2014"/>
  </r>
  <r>
    <x v="2"/>
    <x v="0"/>
    <s v="VTT"/>
    <s v="Medium"/>
    <n v="2215"/>
    <n v="250"/>
    <n v="12"/>
    <n v="26580"/>
    <n v="1860.6"/>
    <n v="24719.4"/>
    <n v="6645"/>
    <n v="18074.400000000001"/>
    <d v="2013-09-01T00:00:00"/>
    <x v="3"/>
    <x v="3"/>
    <n v="2013"/>
  </r>
  <r>
    <x v="4"/>
    <x v="2"/>
    <s v="Carretera"/>
    <s v="Medium"/>
    <n v="448"/>
    <n v="3"/>
    <n v="300"/>
    <n v="134400"/>
    <n v="9408"/>
    <n v="124992"/>
    <n v="112000"/>
    <n v="12992"/>
    <d v="2014-06-01T00:00:00"/>
    <x v="1"/>
    <x v="1"/>
    <n v="2014"/>
  </r>
  <r>
    <x v="4"/>
    <x v="2"/>
    <s v="Carretera"/>
    <s v="Medium"/>
    <n v="2181"/>
    <n v="3"/>
    <n v="300"/>
    <n v="654300"/>
    <n v="45801"/>
    <n v="608499"/>
    <n v="545250"/>
    <n v="63249"/>
    <d v="2014-10-01T00:00:00"/>
    <x v="6"/>
    <x v="6"/>
    <n v="2014"/>
  </r>
  <r>
    <x v="4"/>
    <x v="2"/>
    <s v="Montana"/>
    <s v="Medium"/>
    <n v="2181"/>
    <n v="5"/>
    <n v="300"/>
    <n v="654300"/>
    <n v="45801"/>
    <n v="608499"/>
    <n v="545250"/>
    <n v="63249"/>
    <d v="2014-10-01T00:00:00"/>
    <x v="6"/>
    <x v="6"/>
    <n v="2014"/>
  </r>
  <r>
    <x v="3"/>
    <x v="0"/>
    <s v="Montana"/>
    <s v="Medium"/>
    <n v="2500"/>
    <n v="5"/>
    <n v="125"/>
    <n v="312500"/>
    <n v="21875"/>
    <n v="290625"/>
    <n v="300000"/>
    <n v="-9375"/>
    <d v="2013-11-01T00:00:00"/>
    <x v="2"/>
    <x v="2"/>
    <n v="2013"/>
  </r>
  <r>
    <x v="4"/>
    <x v="2"/>
    <s v="Velo"/>
    <s v="Medium"/>
    <n v="1659"/>
    <n v="120"/>
    <n v="300"/>
    <n v="497700"/>
    <n v="34839"/>
    <n v="462861"/>
    <n v="414750"/>
    <n v="48111"/>
    <d v="2014-07-01T00:00:00"/>
    <x v="9"/>
    <x v="9"/>
    <n v="2014"/>
  </r>
  <r>
    <x v="3"/>
    <x v="0"/>
    <s v="Velo"/>
    <s v="Medium"/>
    <n v="2087"/>
    <n v="120"/>
    <n v="125"/>
    <n v="260875"/>
    <n v="18261.25"/>
    <n v="242613.75"/>
    <n v="250440"/>
    <n v="-7826.25"/>
    <d v="2014-09-01T00:00:00"/>
    <x v="3"/>
    <x v="3"/>
    <n v="2014"/>
  </r>
  <r>
    <x v="4"/>
    <x v="4"/>
    <s v="Velo"/>
    <s v="Medium"/>
    <n v="1372"/>
    <n v="120"/>
    <n v="300"/>
    <n v="411600"/>
    <n v="28812"/>
    <n v="382788"/>
    <n v="343000"/>
    <n v="39788"/>
    <d v="2014-12-01T00:00:00"/>
    <x v="0"/>
    <x v="0"/>
    <n v="2014"/>
  </r>
  <r>
    <x v="2"/>
    <x v="1"/>
    <s v="VTT"/>
    <s v="Medium"/>
    <n v="3244.5"/>
    <n v="250"/>
    <n v="12"/>
    <n v="38934"/>
    <n v="2725.38"/>
    <n v="36208.620000000003"/>
    <n v="9733.5"/>
    <n v="26475.119999999999"/>
    <d v="2014-01-01T00:00:00"/>
    <x v="10"/>
    <x v="10"/>
    <n v="2014"/>
  </r>
  <r>
    <x v="4"/>
    <x v="2"/>
    <s v="VTT"/>
    <s v="Medium"/>
    <n v="959"/>
    <n v="250"/>
    <n v="300"/>
    <n v="287700"/>
    <n v="20139"/>
    <n v="267561"/>
    <n v="239750"/>
    <n v="27811"/>
    <d v="2014-02-01T00:00:00"/>
    <x v="4"/>
    <x v="4"/>
    <n v="2014"/>
  </r>
  <r>
    <x v="4"/>
    <x v="3"/>
    <s v="VTT"/>
    <s v="Medium"/>
    <n v="2747"/>
    <n v="250"/>
    <n v="300"/>
    <n v="824100"/>
    <n v="57687"/>
    <n v="766413"/>
    <n v="686750"/>
    <n v="79663"/>
    <d v="2014-02-01T00:00:00"/>
    <x v="4"/>
    <x v="4"/>
    <n v="2014"/>
  </r>
  <r>
    <x v="3"/>
    <x v="1"/>
    <s v="Amarilla"/>
    <s v="Medium"/>
    <n v="1645"/>
    <n v="260"/>
    <n v="125"/>
    <n v="205625"/>
    <n v="14393.75"/>
    <n v="191231.25"/>
    <n v="197400"/>
    <n v="-6168.75"/>
    <d v="2014-05-01T00:00:00"/>
    <x v="11"/>
    <x v="11"/>
    <n v="2014"/>
  </r>
  <r>
    <x v="3"/>
    <x v="0"/>
    <s v="Amarilla"/>
    <s v="Medium"/>
    <n v="994"/>
    <n v="260"/>
    <n v="125"/>
    <n v="124250"/>
    <n v="8697.5"/>
    <n v="115552.5"/>
    <n v="119280"/>
    <n v="-3727.5"/>
    <d v="2013-09-01T00:00:00"/>
    <x v="3"/>
    <x v="3"/>
    <n v="2013"/>
  </r>
  <r>
    <x v="4"/>
    <x v="4"/>
    <s v="Amarilla"/>
    <s v="Medium"/>
    <n v="1372"/>
    <n v="260"/>
    <n v="300"/>
    <n v="411600"/>
    <n v="28812"/>
    <n v="382788"/>
    <n v="343000"/>
    <n v="39788"/>
    <d v="2014-12-01T00:00:00"/>
    <x v="0"/>
    <x v="0"/>
    <n v="2014"/>
  </r>
  <r>
    <x v="3"/>
    <x v="3"/>
    <s v="Carretera"/>
    <s v="Medium"/>
    <n v="1540"/>
    <n v="3"/>
    <n v="125"/>
    <n v="192500"/>
    <n v="15400"/>
    <n v="177100"/>
    <n v="184800"/>
    <n v="-7700"/>
    <d v="2014-08-01T00:00:00"/>
    <x v="8"/>
    <x v="8"/>
    <n v="2014"/>
  </r>
  <r>
    <x v="1"/>
    <x v="2"/>
    <s v="Carretera"/>
    <s v="Medium"/>
    <n v="490"/>
    <n v="3"/>
    <n v="15"/>
    <n v="7350"/>
    <n v="588"/>
    <n v="6762"/>
    <n v="4900"/>
    <n v="1862"/>
    <d v="2014-11-01T00:00:00"/>
    <x v="2"/>
    <x v="2"/>
    <n v="2014"/>
  </r>
  <r>
    <x v="1"/>
    <x v="2"/>
    <s v="Montana"/>
    <s v="Medium"/>
    <n v="2501"/>
    <n v="5"/>
    <n v="15"/>
    <n v="37515"/>
    <n v="3001.2"/>
    <n v="34513.800000000003"/>
    <n v="25010"/>
    <n v="9503.7999999999993"/>
    <d v="2014-03-01T00:00:00"/>
    <x v="5"/>
    <x v="5"/>
    <n v="2014"/>
  </r>
  <r>
    <x v="4"/>
    <x v="2"/>
    <s v="Montana"/>
    <s v="Medium"/>
    <n v="1562"/>
    <n v="5"/>
    <n v="300"/>
    <n v="468600"/>
    <n v="37488"/>
    <n v="431112"/>
    <n v="390500"/>
    <n v="40612"/>
    <d v="2014-08-01T00:00:00"/>
    <x v="8"/>
    <x v="8"/>
    <n v="2014"/>
  </r>
  <r>
    <x v="4"/>
    <x v="1"/>
    <s v="Montana"/>
    <s v="Medium"/>
    <n v="1283"/>
    <n v="5"/>
    <n v="300"/>
    <n v="384900"/>
    <n v="30792"/>
    <n v="354108"/>
    <n v="320750"/>
    <n v="33358"/>
    <d v="2013-09-01T00:00:00"/>
    <x v="3"/>
    <x v="3"/>
    <n v="2013"/>
  </r>
  <r>
    <x v="1"/>
    <x v="0"/>
    <s v="Montana"/>
    <s v="Medium"/>
    <n v="711"/>
    <n v="5"/>
    <n v="15"/>
    <n v="10665"/>
    <n v="853.2"/>
    <n v="9811.7999999999993"/>
    <n v="7110"/>
    <n v="2701.8"/>
    <d v="2014-12-01T00:00:00"/>
    <x v="0"/>
    <x v="0"/>
    <n v="2014"/>
  </r>
  <r>
    <x v="2"/>
    <x v="1"/>
    <s v="Velo"/>
    <s v="Medium"/>
    <n v="598"/>
    <n v="120"/>
    <n v="12"/>
    <n v="7176"/>
    <n v="574.08000000000004"/>
    <n v="6601.92"/>
    <n v="1794"/>
    <n v="4807.92"/>
    <d v="2014-03-01T00:00:00"/>
    <x v="5"/>
    <x v="5"/>
    <n v="2014"/>
  </r>
  <r>
    <x v="4"/>
    <x v="2"/>
    <s v="Velo"/>
    <s v="Medium"/>
    <n v="386"/>
    <n v="120"/>
    <n v="300"/>
    <n v="115800"/>
    <n v="9264"/>
    <n v="106536"/>
    <n v="96500"/>
    <n v="10036"/>
    <d v="2013-11-01T00:00:00"/>
    <x v="2"/>
    <x v="2"/>
    <n v="2013"/>
  </r>
  <r>
    <x v="4"/>
    <x v="3"/>
    <s v="Velo"/>
    <s v="Medium"/>
    <n v="635"/>
    <n v="120"/>
    <n v="300"/>
    <n v="190500"/>
    <n v="15240"/>
    <n v="175260"/>
    <n v="158750"/>
    <n v="16510"/>
    <d v="2014-12-01T00:00:00"/>
    <x v="0"/>
    <x v="0"/>
    <n v="2014"/>
  </r>
  <r>
    <x v="4"/>
    <x v="1"/>
    <s v="VTT"/>
    <s v="Medium"/>
    <n v="2134"/>
    <n v="250"/>
    <n v="300"/>
    <n v="640200"/>
    <n v="51216"/>
    <n v="588984"/>
    <n v="533500"/>
    <n v="55484"/>
    <d v="2014-09-01T00:00:00"/>
    <x v="3"/>
    <x v="3"/>
    <n v="2014"/>
  </r>
  <r>
    <x v="4"/>
    <x v="4"/>
    <s v="VTT"/>
    <s v="Medium"/>
    <n v="808"/>
    <n v="250"/>
    <n v="300"/>
    <n v="242400"/>
    <n v="19392"/>
    <n v="223008"/>
    <n v="202000"/>
    <n v="21008"/>
    <d v="2013-12-01T00:00:00"/>
    <x v="0"/>
    <x v="0"/>
    <n v="2013"/>
  </r>
  <r>
    <x v="4"/>
    <x v="3"/>
    <s v="Amarilla"/>
    <s v="Medium"/>
    <n v="2460"/>
    <n v="260"/>
    <n v="300"/>
    <n v="738000"/>
    <n v="59040"/>
    <n v="678960"/>
    <n v="615000"/>
    <n v="63960"/>
    <d v="2014-06-01T00:00:00"/>
    <x v="1"/>
    <x v="1"/>
    <n v="2014"/>
  </r>
  <r>
    <x v="1"/>
    <x v="0"/>
    <s v="Amarilla"/>
    <s v="Medium"/>
    <n v="711"/>
    <n v="260"/>
    <n v="15"/>
    <n v="10665"/>
    <n v="853.2"/>
    <n v="9811.7999999999993"/>
    <n v="7110"/>
    <n v="2701.8"/>
    <d v="2014-12-01T00:00:00"/>
    <x v="0"/>
    <x v="0"/>
    <n v="2014"/>
  </r>
  <r>
    <x v="2"/>
    <x v="3"/>
    <s v="Amarilla"/>
    <s v="Medium"/>
    <n v="1375"/>
    <n v="260"/>
    <n v="12"/>
    <n v="16500"/>
    <n v="1320"/>
    <n v="15180"/>
    <n v="4125"/>
    <n v="11055"/>
    <d v="2013-12-01T00:00:00"/>
    <x v="0"/>
    <x v="0"/>
    <n v="2013"/>
  </r>
  <r>
    <x v="4"/>
    <x v="3"/>
    <s v="Amarilla"/>
    <s v="Medium"/>
    <n v="635"/>
    <n v="260"/>
    <n v="300"/>
    <n v="190500"/>
    <n v="15240"/>
    <n v="175260"/>
    <n v="158750"/>
    <n v="16510"/>
    <d v="2014-12-01T00:00:00"/>
    <x v="0"/>
    <x v="0"/>
    <n v="2014"/>
  </r>
  <r>
    <x v="4"/>
    <x v="1"/>
    <s v="Carretera"/>
    <s v="Medium"/>
    <n v="1094"/>
    <n v="3"/>
    <n v="300"/>
    <n v="328200"/>
    <n v="29538"/>
    <n v="298662"/>
    <n v="273500"/>
    <n v="25162"/>
    <d v="2014-06-01T00:00:00"/>
    <x v="1"/>
    <x v="1"/>
    <n v="2014"/>
  </r>
  <r>
    <x v="2"/>
    <x v="3"/>
    <s v="Carretera"/>
    <s v="Medium"/>
    <n v="367"/>
    <n v="3"/>
    <n v="12"/>
    <n v="4404"/>
    <n v="396.36"/>
    <n v="4007.64"/>
    <n v="1101"/>
    <n v="2906.64"/>
    <d v="2013-10-01T00:00:00"/>
    <x v="6"/>
    <x v="6"/>
    <n v="2013"/>
  </r>
  <r>
    <x v="4"/>
    <x v="1"/>
    <s v="Montana"/>
    <s v="Medium"/>
    <n v="3802.5"/>
    <n v="5"/>
    <n v="300"/>
    <n v="1140750"/>
    <n v="102667.5"/>
    <n v="1038082.5"/>
    <n v="950625"/>
    <n v="87457.5"/>
    <d v="2014-04-01T00:00:00"/>
    <x v="7"/>
    <x v="7"/>
    <n v="2014"/>
  </r>
  <r>
    <x v="4"/>
    <x v="2"/>
    <s v="Montana"/>
    <s v="Medium"/>
    <n v="322"/>
    <n v="5"/>
    <n v="300"/>
    <n v="96600"/>
    <n v="8694"/>
    <n v="87906"/>
    <n v="80500"/>
    <n v="7406"/>
    <d v="2013-09-01T00:00:00"/>
    <x v="3"/>
    <x v="3"/>
    <n v="2013"/>
  </r>
  <r>
    <x v="2"/>
    <x v="1"/>
    <s v="Montana"/>
    <s v="Medium"/>
    <n v="2321"/>
    <n v="5"/>
    <n v="12"/>
    <n v="27852"/>
    <n v="2506.6799999999998"/>
    <n v="25345.32"/>
    <n v="6963"/>
    <n v="18382.32"/>
    <d v="2014-11-01T00:00:00"/>
    <x v="2"/>
    <x v="2"/>
    <n v="2014"/>
  </r>
  <r>
    <x v="3"/>
    <x v="2"/>
    <s v="Montana"/>
    <s v="Medium"/>
    <n v="1857"/>
    <n v="5"/>
    <n v="125"/>
    <n v="232125"/>
    <n v="20891.25"/>
    <n v="211233.75"/>
    <n v="222840"/>
    <n v="-11606.25"/>
    <d v="2013-11-01T00:00:00"/>
    <x v="2"/>
    <x v="2"/>
    <n v="2013"/>
  </r>
  <r>
    <x v="3"/>
    <x v="4"/>
    <s v="Montana"/>
    <s v="Medium"/>
    <n v="2797"/>
    <n v="5"/>
    <n v="125"/>
    <n v="349625"/>
    <n v="31466.25"/>
    <n v="318158.75"/>
    <n v="335640"/>
    <n v="-17481.25"/>
    <d v="2014-12-01T00:00:00"/>
    <x v="0"/>
    <x v="0"/>
    <n v="2014"/>
  </r>
  <r>
    <x v="4"/>
    <x v="0"/>
    <s v="Montana"/>
    <s v="Medium"/>
    <n v="334"/>
    <n v="5"/>
    <n v="300"/>
    <n v="100200"/>
    <n v="9018"/>
    <n v="91182"/>
    <n v="83500"/>
    <n v="7682"/>
    <d v="2013-12-01T00:00:00"/>
    <x v="0"/>
    <x v="0"/>
    <n v="2013"/>
  </r>
  <r>
    <x v="1"/>
    <x v="3"/>
    <s v="Velo"/>
    <s v="Medium"/>
    <n v="245"/>
    <n v="120"/>
    <n v="15"/>
    <n v="3675"/>
    <n v="330.75"/>
    <n v="3344.25"/>
    <n v="2450"/>
    <n v="894.25"/>
    <d v="2014-05-01T00:00:00"/>
    <x v="11"/>
    <x v="11"/>
    <n v="2014"/>
  </r>
  <r>
    <x v="4"/>
    <x v="1"/>
    <s v="Velo"/>
    <s v="Medium"/>
    <n v="3793.5"/>
    <n v="120"/>
    <n v="300"/>
    <n v="1138050"/>
    <n v="102424.5"/>
    <n v="1035625.5"/>
    <n v="948375"/>
    <n v="87250.5"/>
    <d v="2014-07-01T00:00:00"/>
    <x v="9"/>
    <x v="9"/>
    <n v="2014"/>
  </r>
  <r>
    <x v="3"/>
    <x v="1"/>
    <s v="Velo"/>
    <s v="Medium"/>
    <n v="567"/>
    <n v="120"/>
    <n v="125"/>
    <n v="70875"/>
    <n v="6378.75"/>
    <n v="64496.25"/>
    <n v="68040"/>
    <n v="-3543.75"/>
    <d v="2014-09-01T00:00:00"/>
    <x v="3"/>
    <x v="3"/>
    <n v="2014"/>
  </r>
  <r>
    <x v="3"/>
    <x v="3"/>
    <s v="Velo"/>
    <s v="Medium"/>
    <n v="2110"/>
    <n v="120"/>
    <n v="125"/>
    <n v="263750"/>
    <n v="23737.5"/>
    <n v="240012.5"/>
    <n v="253200"/>
    <n v="-13187.5"/>
    <d v="2014-09-01T00:00:00"/>
    <x v="3"/>
    <x v="3"/>
    <n v="2014"/>
  </r>
  <r>
    <x v="2"/>
    <x v="4"/>
    <s v="VTT"/>
    <s v="Medium"/>
    <n v="1956"/>
    <n v="250"/>
    <n v="12"/>
    <n v="23472"/>
    <n v="2112.48"/>
    <n v="21359.52"/>
    <n v="5868"/>
    <n v="15491.52"/>
    <d v="2014-01-01T00:00:00"/>
    <x v="10"/>
    <x v="10"/>
    <n v="2014"/>
  </r>
  <r>
    <x v="4"/>
    <x v="0"/>
    <s v="VTT"/>
    <s v="Medium"/>
    <n v="2659"/>
    <n v="250"/>
    <n v="300"/>
    <n v="797700"/>
    <n v="71793"/>
    <n v="725907"/>
    <n v="664750"/>
    <n v="61157"/>
    <d v="2014-02-01T00:00:00"/>
    <x v="4"/>
    <x v="4"/>
    <n v="2014"/>
  </r>
  <r>
    <x v="2"/>
    <x v="0"/>
    <s v="VTT"/>
    <s v="Medium"/>
    <n v="880"/>
    <n v="250"/>
    <n v="12"/>
    <n v="10560"/>
    <n v="950.4"/>
    <n v="9609.6"/>
    <n v="2640"/>
    <n v="6969.6"/>
    <d v="2014-05-01T00:00:00"/>
    <x v="11"/>
    <x v="11"/>
    <n v="2014"/>
  </r>
  <r>
    <x v="4"/>
    <x v="4"/>
    <s v="VTT"/>
    <s v="Medium"/>
    <n v="1867"/>
    <n v="250"/>
    <n v="300"/>
    <n v="560100"/>
    <n v="50409"/>
    <n v="509691"/>
    <n v="466750"/>
    <n v="42941"/>
    <d v="2014-09-01T00:00:00"/>
    <x v="3"/>
    <x v="3"/>
    <n v="2014"/>
  </r>
  <r>
    <x v="2"/>
    <x v="2"/>
    <s v="VTT"/>
    <s v="Medium"/>
    <n v="2234"/>
    <n v="250"/>
    <n v="12"/>
    <n v="26808"/>
    <n v="2412.7199999999998"/>
    <n v="24395.279999999999"/>
    <n v="6702"/>
    <n v="17693.28"/>
    <d v="2013-09-01T00:00:00"/>
    <x v="3"/>
    <x v="3"/>
    <n v="2013"/>
  </r>
  <r>
    <x v="1"/>
    <x v="2"/>
    <s v="VTT"/>
    <s v="Medium"/>
    <n v="1227"/>
    <n v="250"/>
    <n v="15"/>
    <n v="18405"/>
    <n v="1656.45"/>
    <n v="16748.55"/>
    <n v="12270"/>
    <n v="4478.55"/>
    <d v="2014-10-01T00:00:00"/>
    <x v="6"/>
    <x v="6"/>
    <n v="2014"/>
  </r>
  <r>
    <x v="3"/>
    <x v="3"/>
    <s v="VTT"/>
    <s v="Medium"/>
    <n v="877"/>
    <n v="250"/>
    <n v="125"/>
    <n v="109625"/>
    <n v="9866.25"/>
    <n v="99758.75"/>
    <n v="105240"/>
    <n v="-5481.25"/>
    <d v="2014-11-01T00:00:00"/>
    <x v="2"/>
    <x v="2"/>
    <n v="2014"/>
  </r>
  <r>
    <x v="1"/>
    <x v="0"/>
    <s v="Amarilla"/>
    <s v="Medium"/>
    <n v="970"/>
    <n v="260"/>
    <n v="15"/>
    <n v="14550"/>
    <n v="1309.5"/>
    <n v="13240.5"/>
    <n v="9700"/>
    <n v="3540.5"/>
    <d v="2013-11-01T00:00:00"/>
    <x v="2"/>
    <x v="2"/>
    <n v="2013"/>
  </r>
  <r>
    <x v="2"/>
    <x v="0"/>
    <s v="Carretera"/>
    <s v="Medium"/>
    <n v="1580"/>
    <n v="3"/>
    <n v="12"/>
    <n v="18960"/>
    <n v="1706.4"/>
    <n v="17253.599999999999"/>
    <n v="4740"/>
    <n v="12513.6"/>
    <d v="2014-09-01T00:00:00"/>
    <x v="3"/>
    <x v="3"/>
    <n v="2014"/>
  </r>
  <r>
    <x v="2"/>
    <x v="2"/>
    <s v="Velo"/>
    <s v="Medium"/>
    <n v="1967"/>
    <n v="120"/>
    <n v="12"/>
    <n v="23604"/>
    <n v="2124.36"/>
    <n v="21479.64"/>
    <n v="5901"/>
    <n v="15578.64"/>
    <d v="2014-03-01T00:00:00"/>
    <x v="5"/>
    <x v="5"/>
    <n v="2014"/>
  </r>
  <r>
    <x v="1"/>
    <x v="3"/>
    <s v="Velo"/>
    <s v="Medium"/>
    <n v="2628"/>
    <n v="120"/>
    <n v="15"/>
    <n v="39420"/>
    <n v="3547.8"/>
    <n v="35872.199999999997"/>
    <n v="26280"/>
    <n v="9592.2000000000007"/>
    <d v="2014-04-01T00:00:00"/>
    <x v="7"/>
    <x v="7"/>
    <n v="2014"/>
  </r>
  <r>
    <x v="1"/>
    <x v="1"/>
    <s v="Amarilla"/>
    <s v="Medium"/>
    <n v="1630.5"/>
    <n v="260"/>
    <n v="15"/>
    <n v="24457.5"/>
    <n v="2201.1750000000002"/>
    <n v="22256.325000000001"/>
    <n v="16305"/>
    <n v="5951.3249999999998"/>
    <d v="2014-07-01T00:00:00"/>
    <x v="9"/>
    <x v="9"/>
    <n v="2014"/>
  </r>
  <r>
    <x v="2"/>
    <x v="2"/>
    <s v="Amarilla"/>
    <s v="Medium"/>
    <n v="306"/>
    <n v="260"/>
    <n v="12"/>
    <n v="3672"/>
    <n v="330.48"/>
    <n v="3341.52"/>
    <n v="918"/>
    <n v="2423.52"/>
    <d v="2013-12-01T00:00:00"/>
    <x v="0"/>
    <x v="0"/>
    <n v="2013"/>
  </r>
  <r>
    <x v="2"/>
    <x v="4"/>
    <s v="Carretera"/>
    <s v="High"/>
    <n v="386"/>
    <n v="3"/>
    <n v="12"/>
    <n v="4632"/>
    <n v="463.2"/>
    <n v="4168.8"/>
    <n v="1158"/>
    <n v="3010.8"/>
    <d v="2013-10-01T00:00:00"/>
    <x v="6"/>
    <x v="6"/>
    <n v="2013"/>
  </r>
  <r>
    <x v="3"/>
    <x v="4"/>
    <s v="Carretera"/>
    <s v="High"/>
    <n v="3445.5"/>
    <n v="3"/>
    <n v="125"/>
    <n v="430687.5"/>
    <n v="43068.75"/>
    <n v="387618.75"/>
    <n v="413460"/>
    <n v="-25841.25"/>
    <d v="2014-04-01T00:00:00"/>
    <x v="7"/>
    <x v="7"/>
    <n v="2014"/>
  </r>
  <r>
    <x v="3"/>
    <x v="2"/>
    <s v="Carretera"/>
    <s v="High"/>
    <n v="1482"/>
    <n v="3"/>
    <n v="125"/>
    <n v="185250"/>
    <n v="18525"/>
    <n v="166725"/>
    <n v="177840"/>
    <n v="-11115"/>
    <d v="2013-12-01T00:00:00"/>
    <x v="0"/>
    <x v="0"/>
    <n v="2013"/>
  </r>
  <r>
    <x v="3"/>
    <x v="4"/>
    <s v="Montana"/>
    <s v="High"/>
    <n v="1804"/>
    <n v="5"/>
    <n v="125"/>
    <n v="225500"/>
    <n v="22550"/>
    <n v="202950"/>
    <n v="216480"/>
    <n v="-13530"/>
    <d v="2013-11-01T00:00:00"/>
    <x v="2"/>
    <x v="2"/>
    <n v="2013"/>
  </r>
  <r>
    <x v="1"/>
    <x v="2"/>
    <s v="Montana"/>
    <s v="High"/>
    <n v="2072"/>
    <n v="5"/>
    <n v="15"/>
    <n v="31080"/>
    <n v="3108"/>
    <n v="27972"/>
    <n v="20720"/>
    <n v="7252"/>
    <d v="2014-12-01T00:00:00"/>
    <x v="0"/>
    <x v="0"/>
    <n v="2014"/>
  </r>
  <r>
    <x v="1"/>
    <x v="0"/>
    <s v="Velo"/>
    <s v="High"/>
    <n v="681"/>
    <n v="120"/>
    <n v="15"/>
    <n v="10215"/>
    <n v="1021.5"/>
    <n v="9193.5"/>
    <n v="6810"/>
    <n v="2383.5"/>
    <d v="2014-01-01T00:00:00"/>
    <x v="10"/>
    <x v="10"/>
    <n v="2014"/>
  </r>
  <r>
    <x v="1"/>
    <x v="0"/>
    <s v="Velo"/>
    <s v="High"/>
    <n v="510"/>
    <n v="120"/>
    <n v="15"/>
    <n v="7650"/>
    <n v="765"/>
    <n v="6885"/>
    <n v="5100"/>
    <n v="1785"/>
    <d v="2014-04-01T00:00:00"/>
    <x v="7"/>
    <x v="7"/>
    <n v="2014"/>
  </r>
  <r>
    <x v="1"/>
    <x v="4"/>
    <s v="Velo"/>
    <s v="High"/>
    <n v="790"/>
    <n v="120"/>
    <n v="15"/>
    <n v="11850"/>
    <n v="1185"/>
    <n v="10665"/>
    <n v="7900"/>
    <n v="2765"/>
    <d v="2014-05-01T00:00:00"/>
    <x v="11"/>
    <x v="11"/>
    <n v="2014"/>
  </r>
  <r>
    <x v="3"/>
    <x v="4"/>
    <s v="Velo"/>
    <s v="High"/>
    <n v="1596"/>
    <n v="120"/>
    <n v="125"/>
    <n v="199500"/>
    <n v="19950"/>
    <n v="179550"/>
    <n v="191520"/>
    <n v="-11970"/>
    <d v="2014-09-01T00:00:00"/>
    <x v="3"/>
    <x v="3"/>
    <n v="2014"/>
  </r>
  <r>
    <x v="4"/>
    <x v="4"/>
    <s v="Velo"/>
    <s v="High"/>
    <n v="2294"/>
    <n v="120"/>
    <n v="300"/>
    <n v="688200"/>
    <n v="68820"/>
    <n v="619380"/>
    <n v="573500"/>
    <n v="45880"/>
    <d v="2013-10-01T00:00:00"/>
    <x v="6"/>
    <x v="6"/>
    <n v="2013"/>
  </r>
  <r>
    <x v="3"/>
    <x v="1"/>
    <s v="Velo"/>
    <s v="High"/>
    <n v="1916"/>
    <n v="120"/>
    <n v="125"/>
    <n v="239500"/>
    <n v="23950"/>
    <n v="215550"/>
    <n v="229920"/>
    <n v="-14370"/>
    <d v="2013-12-01T00:00:00"/>
    <x v="0"/>
    <x v="0"/>
    <n v="2013"/>
  </r>
  <r>
    <x v="4"/>
    <x v="2"/>
    <s v="Velo"/>
    <s v="High"/>
    <n v="853"/>
    <n v="120"/>
    <n v="300"/>
    <n v="255900"/>
    <n v="25590"/>
    <n v="230310"/>
    <n v="213250"/>
    <n v="17060"/>
    <d v="2014-12-01T00:00:00"/>
    <x v="0"/>
    <x v="0"/>
    <n v="2014"/>
  </r>
  <r>
    <x v="3"/>
    <x v="3"/>
    <s v="VTT"/>
    <s v="High"/>
    <n v="341"/>
    <n v="250"/>
    <n v="125"/>
    <n v="42625"/>
    <n v="4262.5"/>
    <n v="38362.5"/>
    <n v="40920"/>
    <n v="-2557.5"/>
    <d v="2014-05-01T00:00:00"/>
    <x v="11"/>
    <x v="11"/>
    <n v="2014"/>
  </r>
  <r>
    <x v="1"/>
    <x v="3"/>
    <s v="VTT"/>
    <s v="High"/>
    <n v="641"/>
    <n v="250"/>
    <n v="15"/>
    <n v="9615"/>
    <n v="961.5"/>
    <n v="8653.5"/>
    <n v="6410"/>
    <n v="2243.5"/>
    <d v="2014-07-01T00:00:00"/>
    <x v="9"/>
    <x v="9"/>
    <n v="2014"/>
  </r>
  <r>
    <x v="4"/>
    <x v="3"/>
    <s v="VTT"/>
    <s v="High"/>
    <n v="432"/>
    <n v="250"/>
    <n v="300"/>
    <n v="129600"/>
    <n v="12960"/>
    <n v="116640"/>
    <n v="108000"/>
    <n v="8640"/>
    <d v="2014-09-01T00:00:00"/>
    <x v="3"/>
    <x v="3"/>
    <n v="2014"/>
  </r>
  <r>
    <x v="4"/>
    <x v="4"/>
    <s v="VTT"/>
    <s v="High"/>
    <n v="2294"/>
    <n v="250"/>
    <n v="300"/>
    <n v="688200"/>
    <n v="68820"/>
    <n v="619380"/>
    <n v="573500"/>
    <n v="45880"/>
    <d v="2013-10-01T00:00:00"/>
    <x v="6"/>
    <x v="6"/>
    <n v="2013"/>
  </r>
  <r>
    <x v="1"/>
    <x v="2"/>
    <s v="VTT"/>
    <s v="High"/>
    <n v="2167"/>
    <n v="250"/>
    <n v="15"/>
    <n v="32505"/>
    <n v="3250.5"/>
    <n v="29254.5"/>
    <n v="21670"/>
    <n v="7584.5"/>
    <d v="2013-10-01T00:00:00"/>
    <x v="6"/>
    <x v="6"/>
    <n v="2013"/>
  </r>
  <r>
    <x v="3"/>
    <x v="1"/>
    <s v="VTT"/>
    <s v="High"/>
    <n v="2529"/>
    <n v="250"/>
    <n v="125"/>
    <n v="316125"/>
    <n v="31612.5"/>
    <n v="284512.5"/>
    <n v="303480"/>
    <n v="-18967.5"/>
    <d v="2014-11-01T00:00:00"/>
    <x v="2"/>
    <x v="2"/>
    <n v="2014"/>
  </r>
  <r>
    <x v="3"/>
    <x v="4"/>
    <s v="Amarilla"/>
    <s v="High"/>
    <n v="579"/>
    <n v="260"/>
    <n v="125"/>
    <n v="72375"/>
    <n v="7237.5"/>
    <n v="65137.5"/>
    <n v="69480"/>
    <n v="-4342.5"/>
    <d v="2014-01-01T00:00:00"/>
    <x v="10"/>
    <x v="10"/>
    <n v="2014"/>
  </r>
  <r>
    <x v="4"/>
    <x v="4"/>
    <s v="Amarilla"/>
    <s v="High"/>
    <n v="2993"/>
    <n v="260"/>
    <n v="300"/>
    <n v="897900"/>
    <n v="89790"/>
    <n v="808110"/>
    <n v="748250"/>
    <n v="59860"/>
    <d v="2014-03-01T00:00:00"/>
    <x v="5"/>
    <x v="5"/>
    <n v="2014"/>
  </r>
  <r>
    <x v="2"/>
    <x v="1"/>
    <s v="Amarilla"/>
    <s v="High"/>
    <n v="3520.5"/>
    <n v="260"/>
    <n v="12"/>
    <n v="42246"/>
    <n v="4224.6000000000004"/>
    <n v="38021.4"/>
    <n v="10561.5"/>
    <n v="27459.9"/>
    <d v="2014-04-01T00:00:00"/>
    <x v="7"/>
    <x v="7"/>
    <n v="2014"/>
  </r>
  <r>
    <x v="2"/>
    <x v="0"/>
    <s v="Amarilla"/>
    <s v="High"/>
    <n v="2574"/>
    <n v="260"/>
    <n v="12"/>
    <n v="30888"/>
    <n v="3088.8"/>
    <n v="27799.200000000001"/>
    <n v="7722"/>
    <n v="20077.2"/>
    <d v="2014-08-01T00:00:00"/>
    <x v="8"/>
    <x v="8"/>
    <n v="2014"/>
  </r>
  <r>
    <x v="1"/>
    <x v="2"/>
    <s v="Amarilla"/>
    <s v="High"/>
    <n v="2072"/>
    <n v="260"/>
    <n v="15"/>
    <n v="31080"/>
    <n v="3108"/>
    <n v="27972"/>
    <n v="20720"/>
    <n v="7252"/>
    <d v="2014-12-01T00:00:00"/>
    <x v="0"/>
    <x v="0"/>
    <n v="2014"/>
  </r>
  <r>
    <x v="4"/>
    <x v="2"/>
    <s v="Amarilla"/>
    <s v="High"/>
    <n v="853"/>
    <n v="260"/>
    <n v="300"/>
    <n v="255900"/>
    <n v="25590"/>
    <n v="230310"/>
    <n v="213250"/>
    <n v="17060"/>
    <d v="2014-12-01T00:00:00"/>
    <x v="0"/>
    <x v="0"/>
    <n v="2014"/>
  </r>
  <r>
    <x v="2"/>
    <x v="2"/>
    <s v="Carretera"/>
    <s v="High"/>
    <n v="1198"/>
    <n v="3"/>
    <n v="12"/>
    <n v="14376"/>
    <n v="1581.36"/>
    <n v="12794.64"/>
    <n v="3594"/>
    <n v="9200.64"/>
    <d v="2013-10-01T00:00:00"/>
    <x v="6"/>
    <x v="6"/>
    <n v="2013"/>
  </r>
  <r>
    <x v="1"/>
    <x v="1"/>
    <s v="Velo"/>
    <s v="High"/>
    <n v="384"/>
    <n v="120"/>
    <n v="15"/>
    <n v="5760"/>
    <n v="633.6"/>
    <n v="5126.3999999999996"/>
    <n v="3840"/>
    <n v="1286.4000000000001"/>
    <d v="2014-01-01T00:00:00"/>
    <x v="10"/>
    <x v="10"/>
    <n v="2014"/>
  </r>
  <r>
    <x v="2"/>
    <x v="0"/>
    <s v="Velo"/>
    <s v="High"/>
    <n v="472"/>
    <n v="120"/>
    <n v="12"/>
    <n v="5664"/>
    <n v="623.04"/>
    <n v="5040.96"/>
    <n v="1416"/>
    <n v="3624.96"/>
    <d v="2014-10-01T00:00:00"/>
    <x v="6"/>
    <x v="6"/>
    <n v="2014"/>
  </r>
  <r>
    <x v="2"/>
    <x v="3"/>
    <s v="VTT"/>
    <s v="High"/>
    <n v="1005"/>
    <n v="250"/>
    <n v="12"/>
    <n v="12060"/>
    <n v="1326.6"/>
    <n v="10733.4"/>
    <n v="3015"/>
    <n v="7718.4"/>
    <d v="2013-09-01T00:00:00"/>
    <x v="3"/>
    <x v="3"/>
    <n v="2013"/>
  </r>
  <r>
    <x v="1"/>
    <x v="4"/>
    <s v="Amarilla"/>
    <s v="High"/>
    <n v="3199.5"/>
    <n v="260"/>
    <n v="15"/>
    <n v="47992.5"/>
    <n v="5279.1750000000002"/>
    <n v="42713.324999999997"/>
    <n v="31995"/>
    <n v="10718.325000000001"/>
    <d v="2014-07-01T00:00:00"/>
    <x v="9"/>
    <x v="9"/>
    <n v="2014"/>
  </r>
  <r>
    <x v="2"/>
    <x v="0"/>
    <s v="Amarilla"/>
    <s v="High"/>
    <n v="472"/>
    <n v="260"/>
    <n v="12"/>
    <n v="5664"/>
    <n v="623.04"/>
    <n v="5040.96"/>
    <n v="1416"/>
    <n v="3624.96"/>
    <d v="2014-10-01T00:00:00"/>
    <x v="6"/>
    <x v="6"/>
    <n v="2014"/>
  </r>
  <r>
    <x v="2"/>
    <x v="1"/>
    <s v="Carretera"/>
    <s v="High"/>
    <n v="1937"/>
    <n v="3"/>
    <n v="12"/>
    <n v="23244"/>
    <n v="2556.84"/>
    <n v="20687.16"/>
    <n v="5811"/>
    <n v="14876.16"/>
    <d v="2014-02-01T00:00:00"/>
    <x v="4"/>
    <x v="4"/>
    <n v="2014"/>
  </r>
  <r>
    <x v="4"/>
    <x v="0"/>
    <s v="Carretera"/>
    <s v="High"/>
    <n v="2811"/>
    <n v="3"/>
    <n v="300"/>
    <n v="843300"/>
    <n v="92763"/>
    <n v="750537"/>
    <n v="702750"/>
    <n v="47787"/>
    <d v="2014-07-01T00:00:00"/>
    <x v="9"/>
    <x v="9"/>
    <n v="2014"/>
  </r>
  <r>
    <x v="3"/>
    <x v="2"/>
    <s v="Carretera"/>
    <s v="High"/>
    <n v="2441"/>
    <n v="3"/>
    <n v="125"/>
    <n v="305125"/>
    <n v="33563.75"/>
    <n v="271561.25"/>
    <n v="292920"/>
    <n v="-21358.75"/>
    <d v="2014-10-01T00:00:00"/>
    <x v="6"/>
    <x v="6"/>
    <n v="2014"/>
  </r>
  <r>
    <x v="1"/>
    <x v="1"/>
    <s v="Carretera"/>
    <s v="High"/>
    <n v="1560"/>
    <n v="3"/>
    <n v="15"/>
    <n v="23400"/>
    <n v="2574"/>
    <n v="20826"/>
    <n v="15600"/>
    <n v="5226"/>
    <d v="2013-11-01T00:00:00"/>
    <x v="2"/>
    <x v="2"/>
    <n v="2013"/>
  </r>
  <r>
    <x v="1"/>
    <x v="3"/>
    <s v="Montana"/>
    <s v="High"/>
    <n v="2157"/>
    <n v="5"/>
    <n v="15"/>
    <n v="32355"/>
    <n v="3559.05"/>
    <n v="28795.95"/>
    <n v="21570"/>
    <n v="7225.95"/>
    <d v="2014-12-01T00:00:00"/>
    <x v="0"/>
    <x v="0"/>
    <n v="2014"/>
  </r>
  <r>
    <x v="1"/>
    <x v="3"/>
    <s v="Velo"/>
    <s v="High"/>
    <n v="655"/>
    <n v="120"/>
    <n v="15"/>
    <n v="9825"/>
    <n v="1080.75"/>
    <n v="8744.25"/>
    <n v="6550"/>
    <n v="2194.25"/>
    <d v="2013-09-01T00:00:00"/>
    <x v="3"/>
    <x v="3"/>
    <n v="2013"/>
  </r>
  <r>
    <x v="2"/>
    <x v="2"/>
    <s v="VTT"/>
    <s v="High"/>
    <n v="1734"/>
    <n v="250"/>
    <n v="12"/>
    <n v="20808"/>
    <n v="2288.88"/>
    <n v="18519.12"/>
    <n v="5202"/>
    <n v="13317.12"/>
    <d v="2014-01-01T00:00:00"/>
    <x v="10"/>
    <x v="10"/>
    <n v="2014"/>
  </r>
  <r>
    <x v="3"/>
    <x v="3"/>
    <s v="VTT"/>
    <s v="High"/>
    <n v="554"/>
    <n v="250"/>
    <n v="125"/>
    <n v="69250"/>
    <n v="7617.5"/>
    <n v="61632.5"/>
    <n v="66480"/>
    <n v="-4847.5"/>
    <d v="2014-01-01T00:00:00"/>
    <x v="10"/>
    <x v="10"/>
    <n v="2014"/>
  </r>
  <r>
    <x v="3"/>
    <x v="0"/>
    <s v="Amarilla"/>
    <s v="High"/>
    <n v="3165"/>
    <n v="260"/>
    <n v="125"/>
    <n v="395625"/>
    <n v="43518.75"/>
    <n v="352106.25"/>
    <n v="379800"/>
    <n v="-27693.75"/>
    <d v="2014-01-01T00:00:00"/>
    <x v="10"/>
    <x v="10"/>
    <n v="2014"/>
  </r>
  <r>
    <x v="3"/>
    <x v="2"/>
    <s v="Amarilla"/>
    <s v="High"/>
    <n v="1433"/>
    <n v="260"/>
    <n v="125"/>
    <n v="179125"/>
    <n v="19703.75"/>
    <n v="159421.25"/>
    <n v="171960"/>
    <n v="-12538.75"/>
    <d v="2014-05-01T00:00:00"/>
    <x v="11"/>
    <x v="11"/>
    <n v="2014"/>
  </r>
  <r>
    <x v="3"/>
    <x v="3"/>
    <s v="Amarilla"/>
    <s v="High"/>
    <n v="947"/>
    <n v="260"/>
    <n v="125"/>
    <n v="118375"/>
    <n v="13021.25"/>
    <n v="105353.75"/>
    <n v="113640"/>
    <n v="-8286.25"/>
    <d v="2013-09-01T00:00:00"/>
    <x v="3"/>
    <x v="3"/>
    <n v="2013"/>
  </r>
  <r>
    <x v="1"/>
    <x v="3"/>
    <s v="Amarilla"/>
    <s v="High"/>
    <n v="2157"/>
    <n v="260"/>
    <n v="15"/>
    <n v="32355"/>
    <n v="3559.05"/>
    <n v="28795.95"/>
    <n v="21570"/>
    <n v="7225.95"/>
    <d v="2014-12-01T00:00:00"/>
    <x v="0"/>
    <x v="0"/>
    <n v="2014"/>
  </r>
  <r>
    <x v="3"/>
    <x v="1"/>
    <s v="Carretera"/>
    <s v="High"/>
    <n v="2416"/>
    <n v="3"/>
    <n v="125"/>
    <n v="302000"/>
    <n v="36240"/>
    <n v="265760"/>
    <n v="289920"/>
    <n v="-24160"/>
    <d v="2013-09-01T00:00:00"/>
    <x v="3"/>
    <x v="3"/>
    <n v="2013"/>
  </r>
  <r>
    <x v="3"/>
    <x v="3"/>
    <s v="Carretera"/>
    <s v="High"/>
    <n v="2156"/>
    <n v="3"/>
    <n v="125"/>
    <n v="269500"/>
    <n v="32340"/>
    <n v="237160"/>
    <n v="258720"/>
    <n v="-21560"/>
    <d v="2014-10-01T00:00:00"/>
    <x v="6"/>
    <x v="6"/>
    <n v="2014"/>
  </r>
  <r>
    <x v="1"/>
    <x v="1"/>
    <s v="Carretera"/>
    <s v="High"/>
    <n v="2689"/>
    <n v="3"/>
    <n v="15"/>
    <n v="40335"/>
    <n v="4840.2"/>
    <n v="35494.800000000003"/>
    <n v="26890"/>
    <n v="8604.7999999999993"/>
    <d v="2014-11-01T00:00:00"/>
    <x v="2"/>
    <x v="2"/>
    <n v="2014"/>
  </r>
  <r>
    <x v="1"/>
    <x v="4"/>
    <s v="Montana"/>
    <s v="High"/>
    <n v="677"/>
    <n v="5"/>
    <n v="15"/>
    <n v="10155"/>
    <n v="1218.5999999999999"/>
    <n v="8936.4"/>
    <n v="6770"/>
    <n v="2166.4"/>
    <d v="2014-03-01T00:00:00"/>
    <x v="5"/>
    <x v="5"/>
    <n v="2014"/>
  </r>
  <r>
    <x v="4"/>
    <x v="2"/>
    <s v="Montana"/>
    <s v="High"/>
    <n v="1773"/>
    <n v="5"/>
    <n v="300"/>
    <n v="531900"/>
    <n v="63828"/>
    <n v="468072"/>
    <n v="443250"/>
    <n v="24822"/>
    <d v="2014-04-01T00:00:00"/>
    <x v="7"/>
    <x v="7"/>
    <n v="2014"/>
  </r>
  <r>
    <x v="4"/>
    <x v="2"/>
    <s v="Montana"/>
    <s v="High"/>
    <n v="1186"/>
    <n v="5"/>
    <n v="300"/>
    <n v="355800"/>
    <n v="42696"/>
    <n v="313104"/>
    <n v="296500"/>
    <n v="16604"/>
    <d v="2013-12-01T00:00:00"/>
    <x v="0"/>
    <x v="0"/>
    <n v="2013"/>
  </r>
  <r>
    <x v="2"/>
    <x v="1"/>
    <s v="VTT"/>
    <s v="High"/>
    <n v="2109"/>
    <n v="250"/>
    <n v="12"/>
    <n v="25308"/>
    <n v="3036.96"/>
    <n v="22271.040000000001"/>
    <n v="6327"/>
    <n v="15944.04"/>
    <d v="2014-05-01T00:00:00"/>
    <x v="11"/>
    <x v="11"/>
    <n v="2014"/>
  </r>
  <r>
    <x v="1"/>
    <x v="2"/>
    <s v="VTT"/>
    <s v="High"/>
    <n v="3874.5"/>
    <n v="250"/>
    <n v="15"/>
    <n v="58117.5"/>
    <n v="6974.1"/>
    <n v="51143.4"/>
    <n v="38745"/>
    <n v="12398.4"/>
    <d v="2014-07-01T00:00:00"/>
    <x v="9"/>
    <x v="9"/>
    <n v="2014"/>
  </r>
  <r>
    <x v="3"/>
    <x v="4"/>
    <s v="VTT"/>
    <s v="High"/>
    <n v="2387"/>
    <n v="250"/>
    <n v="125"/>
    <n v="298375"/>
    <n v="35805"/>
    <n v="262570"/>
    <n v="286440"/>
    <n v="-23870"/>
    <d v="2014-11-01T00:00:00"/>
    <x v="2"/>
    <x v="2"/>
    <n v="2014"/>
  </r>
  <r>
    <x v="1"/>
    <x v="4"/>
    <s v="Amarilla"/>
    <s v="High"/>
    <n v="2548"/>
    <n v="260"/>
    <n v="15"/>
    <n v="38220"/>
    <n v="4586.3999999999996"/>
    <n v="33633.599999999999"/>
    <n v="25480"/>
    <n v="8153.6"/>
    <d v="2013-11-01T00:00:00"/>
    <x v="2"/>
    <x v="2"/>
    <n v="2013"/>
  </r>
  <r>
    <x v="2"/>
    <x v="3"/>
    <s v="Montana"/>
    <s v="High"/>
    <n v="2661"/>
    <n v="5"/>
    <n v="12"/>
    <n v="31932"/>
    <n v="3831.84"/>
    <n v="28100.16"/>
    <n v="7983"/>
    <n v="20117.16"/>
    <d v="2014-05-01T00:00:00"/>
    <x v="11"/>
    <x v="11"/>
    <n v="2014"/>
  </r>
  <r>
    <x v="2"/>
    <x v="1"/>
    <s v="Amarilla"/>
    <s v="High"/>
    <n v="2761"/>
    <n v="260"/>
    <n v="12"/>
    <n v="33132"/>
    <n v="3975.84"/>
    <n v="29156.16"/>
    <n v="8283"/>
    <n v="20873.16"/>
    <d v="2013-09-01T00:00:00"/>
    <x v="3"/>
    <x v="3"/>
    <n v="2013"/>
  </r>
  <r>
    <x v="1"/>
    <x v="4"/>
    <s v="Carretera"/>
    <s v="High"/>
    <n v="2567"/>
    <n v="3"/>
    <n v="15"/>
    <n v="38505"/>
    <n v="5005.6499999999996"/>
    <n v="33499.35"/>
    <n v="25670"/>
    <n v="7829.35"/>
    <d v="2014-06-01T00:00:00"/>
    <x v="1"/>
    <x v="1"/>
    <n v="2014"/>
  </r>
  <r>
    <x v="1"/>
    <x v="4"/>
    <s v="VTT"/>
    <s v="High"/>
    <n v="2567"/>
    <n v="250"/>
    <n v="15"/>
    <n v="38505"/>
    <n v="5005.6499999999996"/>
    <n v="33499.35"/>
    <n v="25670"/>
    <n v="7829.35"/>
    <d v="2014-06-01T00:00:00"/>
    <x v="1"/>
    <x v="1"/>
    <n v="2014"/>
  </r>
  <r>
    <x v="2"/>
    <x v="3"/>
    <s v="Montana"/>
    <s v="High"/>
    <n v="604"/>
    <n v="5"/>
    <n v="12"/>
    <n v="7248"/>
    <n v="942.24"/>
    <n v="6305.76"/>
    <n v="1812"/>
    <n v="4493.76"/>
    <d v="2014-06-01T00:00:00"/>
    <x v="1"/>
    <x v="1"/>
    <n v="2014"/>
  </r>
  <r>
    <x v="1"/>
    <x v="2"/>
    <s v="Velo"/>
    <s v="High"/>
    <n v="3997.5"/>
    <n v="120"/>
    <n v="15"/>
    <n v="59962.5"/>
    <n v="7795.125"/>
    <n v="52167.375"/>
    <n v="39975"/>
    <n v="12192.375"/>
    <d v="2014-01-01T00:00:00"/>
    <x v="10"/>
    <x v="10"/>
    <n v="2014"/>
  </r>
  <r>
    <x v="2"/>
    <x v="3"/>
    <s v="Velo"/>
    <s v="High"/>
    <n v="604"/>
    <n v="120"/>
    <n v="12"/>
    <n v="7248"/>
    <n v="942.24"/>
    <n v="6305.76"/>
    <n v="1812"/>
    <n v="4493.76"/>
    <d v="2014-06-01T00:00:00"/>
    <x v="1"/>
    <x v="1"/>
    <n v="2014"/>
  </r>
  <r>
    <x v="1"/>
    <x v="0"/>
    <s v="Velo"/>
    <s v="High"/>
    <n v="660"/>
    <n v="120"/>
    <n v="15"/>
    <n v="9900"/>
    <n v="1287"/>
    <n v="8613"/>
    <n v="6600"/>
    <n v="2013"/>
    <d v="2013-09-01T00:00:00"/>
    <x v="3"/>
    <x v="3"/>
    <n v="2013"/>
  </r>
  <r>
    <x v="2"/>
    <x v="3"/>
    <s v="Velo"/>
    <s v="High"/>
    <n v="410"/>
    <n v="120"/>
    <n v="12"/>
    <n v="4920"/>
    <n v="639.6"/>
    <n v="4280.3999999999996"/>
    <n v="1230"/>
    <n v="3050.4"/>
    <d v="2014-10-01T00:00:00"/>
    <x v="6"/>
    <x v="6"/>
    <n v="2014"/>
  </r>
  <r>
    <x v="4"/>
    <x v="3"/>
    <s v="Velo"/>
    <s v="High"/>
    <n v="2605"/>
    <n v="120"/>
    <n v="300"/>
    <n v="781500"/>
    <n v="101595"/>
    <n v="679905"/>
    <n v="651250"/>
    <n v="28655"/>
    <d v="2013-11-01T00:00:00"/>
    <x v="2"/>
    <x v="2"/>
    <n v="2013"/>
  </r>
  <r>
    <x v="2"/>
    <x v="0"/>
    <s v="Velo"/>
    <s v="High"/>
    <n v="1013"/>
    <n v="120"/>
    <n v="12"/>
    <n v="12156"/>
    <n v="1580.28"/>
    <n v="10575.72"/>
    <n v="3039"/>
    <n v="7536.72"/>
    <d v="2014-12-01T00:00:00"/>
    <x v="0"/>
    <x v="0"/>
    <n v="2014"/>
  </r>
  <r>
    <x v="3"/>
    <x v="1"/>
    <s v="VTT"/>
    <s v="High"/>
    <n v="1583"/>
    <n v="250"/>
    <n v="125"/>
    <n v="197875"/>
    <n v="25723.75"/>
    <n v="172151.25"/>
    <n v="189960"/>
    <n v="-17808.75"/>
    <d v="2014-06-01T00:00:00"/>
    <x v="1"/>
    <x v="1"/>
    <n v="2014"/>
  </r>
  <r>
    <x v="1"/>
    <x v="1"/>
    <s v="VTT"/>
    <s v="High"/>
    <n v="1565"/>
    <n v="250"/>
    <n v="15"/>
    <n v="23475"/>
    <n v="3051.75"/>
    <n v="20423.25"/>
    <n v="15650"/>
    <n v="4773.25"/>
    <d v="2014-10-01T00:00:00"/>
    <x v="6"/>
    <x v="6"/>
    <n v="2014"/>
  </r>
  <r>
    <x v="3"/>
    <x v="1"/>
    <s v="Amarilla"/>
    <s v="High"/>
    <n v="1659"/>
    <n v="260"/>
    <n v="125"/>
    <n v="207375"/>
    <n v="26958.75"/>
    <n v="180416.25"/>
    <n v="199080"/>
    <n v="-18663.75"/>
    <d v="2014-01-01T00:00:00"/>
    <x v="10"/>
    <x v="10"/>
    <n v="2014"/>
  </r>
  <r>
    <x v="2"/>
    <x v="3"/>
    <s v="Amarilla"/>
    <s v="High"/>
    <n v="410"/>
    <n v="260"/>
    <n v="12"/>
    <n v="4920"/>
    <n v="639.6"/>
    <n v="4280.3999999999996"/>
    <n v="1230"/>
    <n v="3050.4"/>
    <d v="2014-10-01T00:00:00"/>
    <x v="6"/>
    <x v="6"/>
    <n v="2014"/>
  </r>
  <r>
    <x v="2"/>
    <x v="0"/>
    <s v="Amarilla"/>
    <s v="High"/>
    <n v="1770"/>
    <n v="260"/>
    <n v="12"/>
    <n v="21240"/>
    <n v="2761.2"/>
    <n v="18478.8"/>
    <n v="5310"/>
    <n v="13168.8"/>
    <d v="2013-12-01T00:00:00"/>
    <x v="0"/>
    <x v="0"/>
    <n v="2013"/>
  </r>
  <r>
    <x v="2"/>
    <x v="2"/>
    <s v="Amarilla"/>
    <s v="High"/>
    <n v="1393"/>
    <n v="260"/>
    <n v="12"/>
    <n v="16716"/>
    <n v="2340.2399999999998"/>
    <n v="14375.76"/>
    <n v="4179"/>
    <n v="10196.76"/>
    <d v="2014-10-01T00:00:00"/>
    <x v="6"/>
    <x v="6"/>
    <n v="2014"/>
  </r>
  <r>
    <x v="2"/>
    <x v="4"/>
    <s v="Amarilla"/>
    <s v="High"/>
    <n v="2015"/>
    <n v="260"/>
    <n v="12"/>
    <n v="24180"/>
    <n v="3385.2"/>
    <n v="20794.8"/>
    <n v="6045"/>
    <n v="14749.8"/>
    <d v="2013-12-01T00:00:00"/>
    <x v="0"/>
    <x v="0"/>
    <n v="2013"/>
  </r>
  <r>
    <x v="4"/>
    <x v="3"/>
    <s v="Carretera"/>
    <s v="High"/>
    <n v="801"/>
    <n v="3"/>
    <n v="300"/>
    <n v="240300"/>
    <n v="33642"/>
    <n v="206658"/>
    <n v="200250"/>
    <n v="6408"/>
    <d v="2014-07-01T00:00:00"/>
    <x v="9"/>
    <x v="9"/>
    <n v="2014"/>
  </r>
  <r>
    <x v="3"/>
    <x v="2"/>
    <s v="Carretera"/>
    <s v="High"/>
    <n v="1023"/>
    <n v="3"/>
    <n v="125"/>
    <n v="127875"/>
    <n v="17902.5"/>
    <n v="109972.5"/>
    <n v="122760"/>
    <n v="-12787.5"/>
    <d v="2013-09-01T00:00:00"/>
    <x v="3"/>
    <x v="3"/>
    <n v="2013"/>
  </r>
  <r>
    <x v="4"/>
    <x v="1"/>
    <s v="Carretera"/>
    <s v="High"/>
    <n v="1496"/>
    <n v="3"/>
    <n v="300"/>
    <n v="448800"/>
    <n v="62832"/>
    <n v="385968"/>
    <n v="374000"/>
    <n v="11968"/>
    <d v="2014-10-01T00:00:00"/>
    <x v="6"/>
    <x v="6"/>
    <n v="2014"/>
  </r>
  <r>
    <x v="4"/>
    <x v="4"/>
    <s v="Carretera"/>
    <s v="High"/>
    <n v="1010"/>
    <n v="3"/>
    <n v="300"/>
    <n v="303000"/>
    <n v="42420"/>
    <n v="260580"/>
    <n v="252500"/>
    <n v="8080"/>
    <d v="2014-10-01T00:00:00"/>
    <x v="6"/>
    <x v="6"/>
    <n v="2014"/>
  </r>
  <r>
    <x v="1"/>
    <x v="0"/>
    <s v="Carretera"/>
    <s v="High"/>
    <n v="1513"/>
    <n v="3"/>
    <n v="15"/>
    <n v="22695"/>
    <n v="3177.3"/>
    <n v="19517.7"/>
    <n v="15130"/>
    <n v="4387.7"/>
    <d v="2014-11-01T00:00:00"/>
    <x v="2"/>
    <x v="2"/>
    <n v="2014"/>
  </r>
  <r>
    <x v="1"/>
    <x v="1"/>
    <s v="Carretera"/>
    <s v="High"/>
    <n v="2300"/>
    <n v="3"/>
    <n v="15"/>
    <n v="34500"/>
    <n v="4830"/>
    <n v="29670"/>
    <n v="23000"/>
    <n v="6670"/>
    <d v="2014-12-01T00:00:00"/>
    <x v="0"/>
    <x v="0"/>
    <n v="2014"/>
  </r>
  <r>
    <x v="3"/>
    <x v="3"/>
    <s v="Carretera"/>
    <s v="High"/>
    <n v="2821"/>
    <n v="3"/>
    <n v="125"/>
    <n v="352625"/>
    <n v="49367.5"/>
    <n v="303257.5"/>
    <n v="338520"/>
    <n v="-35262.5"/>
    <d v="2013-12-01T00:00:00"/>
    <x v="0"/>
    <x v="0"/>
    <n v="2013"/>
  </r>
  <r>
    <x v="1"/>
    <x v="1"/>
    <s v="Montana"/>
    <s v="High"/>
    <n v="2300"/>
    <n v="5"/>
    <n v="15"/>
    <n v="34500"/>
    <n v="4830"/>
    <n v="29670"/>
    <n v="23000"/>
    <n v="6670"/>
    <d v="2014-12-01T00:00:00"/>
    <x v="0"/>
    <x v="0"/>
    <n v="2014"/>
  </r>
  <r>
    <x v="3"/>
    <x v="3"/>
    <s v="Velo"/>
    <s v="High"/>
    <n v="1575"/>
    <n v="120"/>
    <n v="125"/>
    <n v="196875"/>
    <n v="27562.5"/>
    <n v="169312.5"/>
    <n v="189000"/>
    <n v="-19687.5"/>
    <d v="2014-02-01T00:00:00"/>
    <x v="4"/>
    <x v="4"/>
    <n v="2014"/>
  </r>
  <r>
    <x v="4"/>
    <x v="4"/>
    <s v="Velo"/>
    <s v="High"/>
    <n v="2460"/>
    <n v="120"/>
    <n v="300"/>
    <n v="738000"/>
    <n v="103320"/>
    <n v="634680"/>
    <n v="615000"/>
    <n v="19680"/>
    <d v="2014-07-01T00:00:00"/>
    <x v="9"/>
    <x v="9"/>
    <n v="2014"/>
  </r>
  <r>
    <x v="4"/>
    <x v="1"/>
    <s v="Velo"/>
    <s v="High"/>
    <n v="269"/>
    <n v="120"/>
    <n v="300"/>
    <n v="80700"/>
    <n v="11298"/>
    <n v="69402"/>
    <n v="67250"/>
    <n v="2152"/>
    <d v="2013-10-01T00:00:00"/>
    <x v="6"/>
    <x v="6"/>
    <n v="2013"/>
  </r>
  <r>
    <x v="4"/>
    <x v="0"/>
    <s v="Velo"/>
    <s v="High"/>
    <n v="2536"/>
    <n v="120"/>
    <n v="300"/>
    <n v="760800"/>
    <n v="106512"/>
    <n v="654288"/>
    <n v="634000"/>
    <n v="20288"/>
    <d v="2013-11-01T00:00:00"/>
    <x v="2"/>
    <x v="2"/>
    <n v="2013"/>
  </r>
  <r>
    <x v="4"/>
    <x v="4"/>
    <s v="VTT"/>
    <s v="High"/>
    <n v="2541"/>
    <n v="250"/>
    <n v="300"/>
    <n v="762300"/>
    <n v="106722"/>
    <n v="655578"/>
    <n v="635250"/>
    <n v="20328"/>
    <d v="2014-08-01T00:00:00"/>
    <x v="8"/>
    <x v="8"/>
    <n v="2014"/>
  </r>
  <r>
    <x v="4"/>
    <x v="1"/>
    <s v="VTT"/>
    <s v="High"/>
    <n v="269"/>
    <n v="250"/>
    <n v="300"/>
    <n v="80700"/>
    <n v="11298"/>
    <n v="69402"/>
    <n v="67250"/>
    <n v="2152"/>
    <d v="2013-10-01T00:00:00"/>
    <x v="6"/>
    <x v="6"/>
    <n v="2013"/>
  </r>
  <r>
    <x v="4"/>
    <x v="1"/>
    <s v="VTT"/>
    <s v="High"/>
    <n v="1496"/>
    <n v="250"/>
    <n v="300"/>
    <n v="448800"/>
    <n v="62832"/>
    <n v="385968"/>
    <n v="374000"/>
    <n v="11968"/>
    <d v="2014-10-01T00:00:00"/>
    <x v="6"/>
    <x v="6"/>
    <n v="2014"/>
  </r>
  <r>
    <x v="4"/>
    <x v="4"/>
    <s v="VTT"/>
    <s v="High"/>
    <n v="1010"/>
    <n v="250"/>
    <n v="300"/>
    <n v="303000"/>
    <n v="42420"/>
    <n v="260580"/>
    <n v="252500"/>
    <n v="8080"/>
    <d v="2014-10-01T00:00:00"/>
    <x v="6"/>
    <x v="6"/>
    <n v="2014"/>
  </r>
  <r>
    <x v="4"/>
    <x v="1"/>
    <s v="Amarilla"/>
    <s v="High"/>
    <n v="888"/>
    <n v="260"/>
    <n v="300"/>
    <n v="266400"/>
    <n v="37296"/>
    <n v="229104"/>
    <n v="222000"/>
    <n v="7104"/>
    <d v="2014-03-01T00:00:00"/>
    <x v="5"/>
    <x v="5"/>
    <n v="2014"/>
  </r>
  <r>
    <x v="3"/>
    <x v="4"/>
    <s v="Amarilla"/>
    <s v="High"/>
    <n v="2844"/>
    <n v="260"/>
    <n v="125"/>
    <n v="355500"/>
    <n v="49770"/>
    <n v="305730"/>
    <n v="341280"/>
    <n v="-35550"/>
    <d v="2014-05-01T00:00:00"/>
    <x v="11"/>
    <x v="11"/>
    <n v="2014"/>
  </r>
  <r>
    <x v="2"/>
    <x v="2"/>
    <s v="Amarilla"/>
    <s v="High"/>
    <n v="2475"/>
    <n v="260"/>
    <n v="12"/>
    <n v="29700"/>
    <n v="4158"/>
    <n v="25542"/>
    <n v="7425"/>
    <n v="18117"/>
    <d v="2014-08-01T00:00:00"/>
    <x v="8"/>
    <x v="8"/>
    <n v="2014"/>
  </r>
  <r>
    <x v="1"/>
    <x v="1"/>
    <s v="Amarilla"/>
    <s v="High"/>
    <n v="1743"/>
    <n v="260"/>
    <n v="15"/>
    <n v="26145"/>
    <n v="3660.3"/>
    <n v="22484.7"/>
    <n v="17430"/>
    <n v="5054.7"/>
    <d v="2013-10-01T00:00:00"/>
    <x v="6"/>
    <x v="6"/>
    <n v="2013"/>
  </r>
  <r>
    <x v="2"/>
    <x v="4"/>
    <s v="Amarilla"/>
    <s v="High"/>
    <n v="2914"/>
    <n v="260"/>
    <n v="12"/>
    <n v="34968"/>
    <n v="4895.5200000000004"/>
    <n v="30072.48"/>
    <n v="8742"/>
    <n v="21330.48"/>
    <d v="2014-10-01T00:00:00"/>
    <x v="6"/>
    <x v="6"/>
    <n v="2014"/>
  </r>
  <r>
    <x v="1"/>
    <x v="3"/>
    <s v="Amarilla"/>
    <s v="High"/>
    <n v="1870"/>
    <n v="260"/>
    <n v="15"/>
    <n v="28050"/>
    <n v="3927"/>
    <n v="24123"/>
    <n v="18700"/>
    <n v="5423"/>
    <d v="2013-11-01T00:00:00"/>
    <x v="2"/>
    <x v="2"/>
    <n v="2013"/>
  </r>
  <r>
    <x v="3"/>
    <x v="2"/>
    <s v="Carretera"/>
    <s v="High"/>
    <n v="1174"/>
    <n v="3"/>
    <n v="125"/>
    <n v="146750"/>
    <n v="22012.5"/>
    <n v="124737.5"/>
    <n v="140880"/>
    <n v="-16142.5"/>
    <d v="2014-08-01T00:00:00"/>
    <x v="8"/>
    <x v="8"/>
    <n v="2014"/>
  </r>
  <r>
    <x v="3"/>
    <x v="0"/>
    <s v="Carretera"/>
    <s v="High"/>
    <n v="2767"/>
    <n v="3"/>
    <n v="125"/>
    <n v="345875"/>
    <n v="51881.25"/>
    <n v="293993.75"/>
    <n v="332040"/>
    <n v="-38046.25"/>
    <d v="2014-08-01T00:00:00"/>
    <x v="8"/>
    <x v="8"/>
    <n v="2014"/>
  </r>
  <r>
    <x v="3"/>
    <x v="0"/>
    <s v="Carretera"/>
    <s v="High"/>
    <n v="1085"/>
    <n v="3"/>
    <n v="125"/>
    <n v="135625"/>
    <n v="20343.75"/>
    <n v="115281.25"/>
    <n v="130200"/>
    <n v="-14918.75"/>
    <d v="2014-10-01T00:00:00"/>
    <x v="6"/>
    <x v="6"/>
    <n v="2014"/>
  </r>
  <r>
    <x v="4"/>
    <x v="3"/>
    <s v="Montana"/>
    <s v="High"/>
    <n v="546"/>
    <n v="5"/>
    <n v="300"/>
    <n v="163800"/>
    <n v="24570"/>
    <n v="139230"/>
    <n v="136500"/>
    <n v="2730"/>
    <d v="2014-10-01T00:00:00"/>
    <x v="6"/>
    <x v="6"/>
    <n v="2014"/>
  </r>
  <r>
    <x v="2"/>
    <x v="3"/>
    <s v="Velo"/>
    <s v="High"/>
    <n v="500"/>
    <n v="120"/>
    <n v="12"/>
    <n v="6000"/>
    <n v="900"/>
    <n v="5100"/>
    <n v="1500"/>
    <n v="3600"/>
    <d v="2014-03-01T00:00:00"/>
    <x v="5"/>
    <x v="5"/>
    <n v="2014"/>
  </r>
  <r>
    <x v="1"/>
    <x v="2"/>
    <s v="Velo"/>
    <s v="High"/>
    <n v="2826"/>
    <n v="120"/>
    <n v="15"/>
    <n v="42390"/>
    <n v="6358.5"/>
    <n v="36031.5"/>
    <n v="28260"/>
    <n v="7771.5"/>
    <d v="2014-05-01T00:00:00"/>
    <x v="11"/>
    <x v="11"/>
    <n v="2014"/>
  </r>
  <r>
    <x v="3"/>
    <x v="2"/>
    <s v="Velo"/>
    <s v="High"/>
    <n v="663"/>
    <n v="120"/>
    <n v="125"/>
    <n v="82875"/>
    <n v="12431.25"/>
    <n v="70443.75"/>
    <n v="79560"/>
    <n v="-9116.25"/>
    <d v="2014-09-01T00:00:00"/>
    <x v="3"/>
    <x v="3"/>
    <n v="2014"/>
  </r>
  <r>
    <x v="4"/>
    <x v="4"/>
    <s v="Velo"/>
    <s v="High"/>
    <n v="2574"/>
    <n v="120"/>
    <n v="300"/>
    <n v="772200"/>
    <n v="115830"/>
    <n v="656370"/>
    <n v="643500"/>
    <n v="12870"/>
    <d v="2013-11-01T00:00:00"/>
    <x v="2"/>
    <x v="2"/>
    <n v="2013"/>
  </r>
  <r>
    <x v="3"/>
    <x v="4"/>
    <s v="Velo"/>
    <s v="High"/>
    <n v="2438"/>
    <n v="120"/>
    <n v="125"/>
    <n v="304750"/>
    <n v="45712.5"/>
    <n v="259037.5"/>
    <n v="292560"/>
    <n v="-33522.5"/>
    <d v="2013-12-01T00:00:00"/>
    <x v="0"/>
    <x v="0"/>
    <n v="2013"/>
  </r>
  <r>
    <x v="2"/>
    <x v="4"/>
    <s v="Velo"/>
    <s v="High"/>
    <n v="914"/>
    <n v="120"/>
    <n v="12"/>
    <n v="10968"/>
    <n v="1645.2"/>
    <n v="9322.7999999999993"/>
    <n v="2742"/>
    <n v="6580.8"/>
    <d v="2014-12-01T00:00:00"/>
    <x v="0"/>
    <x v="0"/>
    <n v="2014"/>
  </r>
  <r>
    <x v="1"/>
    <x v="0"/>
    <s v="VTT"/>
    <s v="High"/>
    <n v="492"/>
    <n v="250"/>
    <n v="15"/>
    <n v="7380"/>
    <n v="1107"/>
    <n v="6273"/>
    <n v="4920"/>
    <n v="1353"/>
    <d v="2014-07-01T00:00:00"/>
    <x v="9"/>
    <x v="9"/>
    <n v="2014"/>
  </r>
  <r>
    <x v="1"/>
    <x v="0"/>
    <s v="VTT"/>
    <s v="High"/>
    <n v="1175"/>
    <n v="250"/>
    <n v="15"/>
    <n v="17625"/>
    <n v="2643.75"/>
    <n v="14981.25"/>
    <n v="11750"/>
    <n v="3231.25"/>
    <d v="2014-10-01T00:00:00"/>
    <x v="6"/>
    <x v="6"/>
    <n v="2014"/>
  </r>
  <r>
    <x v="3"/>
    <x v="1"/>
    <s v="VTT"/>
    <s v="High"/>
    <n v="2954"/>
    <n v="250"/>
    <n v="125"/>
    <n v="369250"/>
    <n v="55387.5"/>
    <n v="313862.5"/>
    <n v="354480"/>
    <n v="-40617.5"/>
    <d v="2013-11-01T00:00:00"/>
    <x v="2"/>
    <x v="2"/>
    <n v="2013"/>
  </r>
  <r>
    <x v="3"/>
    <x v="0"/>
    <s v="VTT"/>
    <s v="High"/>
    <n v="552"/>
    <n v="250"/>
    <n v="125"/>
    <n v="69000"/>
    <n v="10350"/>
    <n v="58650"/>
    <n v="66240"/>
    <n v="-7590"/>
    <d v="2014-11-01T00:00:00"/>
    <x v="2"/>
    <x v="2"/>
    <n v="2014"/>
  </r>
  <r>
    <x v="4"/>
    <x v="2"/>
    <s v="Amarilla"/>
    <s v="High"/>
    <n v="2475"/>
    <n v="260"/>
    <n v="300"/>
    <n v="742500"/>
    <n v="111375"/>
    <n v="631125"/>
    <n v="618750"/>
    <n v="12375"/>
    <d v="2014-03-01T00:00:00"/>
    <x v="5"/>
    <x v="5"/>
    <n v="2014"/>
  </r>
  <r>
    <x v="4"/>
    <x v="3"/>
    <s v="Amarilla"/>
    <s v="High"/>
    <n v="546"/>
    <n v="260"/>
    <n v="300"/>
    <n v="163800"/>
    <n v="24570"/>
    <n v="139230"/>
    <n v="136500"/>
    <n v="2730"/>
    <d v="2014-10-01T00:00:00"/>
    <x v="6"/>
    <x v="6"/>
    <n v="2014"/>
  </r>
  <r>
    <x v="2"/>
    <x v="4"/>
    <s v="VTT"/>
    <s v="High"/>
    <n v="1806"/>
    <n v="250"/>
    <n v="12"/>
    <n v="21672"/>
    <n v="3250.8"/>
    <n v="18421.2"/>
    <n v="5418"/>
    <n v="13003.2"/>
    <d v="2014-05-01T00:00:00"/>
    <x v="11"/>
    <x v="11"/>
    <n v="2014"/>
  </r>
  <r>
    <x v="1"/>
    <x v="3"/>
    <s v="Paseo"/>
    <s v="None"/>
    <n v="974"/>
    <n v="10"/>
    <n v="15"/>
    <n v="14610"/>
    <n v="0"/>
    <n v="14610"/>
    <n v="9740"/>
    <n v="4870"/>
    <d v="2014-02-01T00:00:00"/>
    <x v="4"/>
    <x v="4"/>
    <n v="2014"/>
  </r>
  <r>
    <x v="2"/>
    <x v="1"/>
    <s v="Paseo"/>
    <s v="None"/>
    <n v="2518"/>
    <n v="10"/>
    <n v="12"/>
    <n v="30216"/>
    <n v="0"/>
    <n v="30216"/>
    <n v="7554"/>
    <n v="22662"/>
    <d v="2014-06-01T00:00:00"/>
    <x v="1"/>
    <x v="1"/>
    <n v="2014"/>
  </r>
  <r>
    <x v="2"/>
    <x v="0"/>
    <s v="Paseo"/>
    <s v="None"/>
    <n v="367"/>
    <n v="10"/>
    <n v="12"/>
    <n v="4404"/>
    <n v="0"/>
    <n v="4404"/>
    <n v="1101"/>
    <n v="3303"/>
    <d v="2014-07-01T00:00:00"/>
    <x v="9"/>
    <x v="9"/>
    <n v="2014"/>
  </r>
  <r>
    <x v="1"/>
    <x v="2"/>
    <s v="Paseo"/>
    <s v="None"/>
    <n v="549"/>
    <n v="10"/>
    <n v="15"/>
    <n v="8235"/>
    <n v="0"/>
    <n v="8235"/>
    <n v="5490"/>
    <n v="2745"/>
    <d v="2013-09-01T00:00:00"/>
    <x v="3"/>
    <x v="3"/>
    <n v="2013"/>
  </r>
  <r>
    <x v="4"/>
    <x v="3"/>
    <s v="Paseo"/>
    <s v="None"/>
    <n v="788"/>
    <n v="10"/>
    <n v="300"/>
    <n v="236400"/>
    <n v="0"/>
    <n v="236400"/>
    <n v="197000"/>
    <n v="39400"/>
    <d v="2013-09-01T00:00:00"/>
    <x v="3"/>
    <x v="3"/>
    <n v="2013"/>
  </r>
  <r>
    <x v="1"/>
    <x v="3"/>
    <s v="Paseo"/>
    <s v="None"/>
    <n v="2472"/>
    <n v="10"/>
    <n v="15"/>
    <n v="37080"/>
    <n v="0"/>
    <n v="37080"/>
    <n v="24720"/>
    <n v="12360"/>
    <d v="2014-09-01T00:00:00"/>
    <x v="3"/>
    <x v="3"/>
    <n v="2014"/>
  </r>
  <r>
    <x v="2"/>
    <x v="4"/>
    <s v="Paseo"/>
    <s v="None"/>
    <n v="912"/>
    <n v="10"/>
    <n v="12"/>
    <n v="10944"/>
    <n v="0"/>
    <n v="10944"/>
    <n v="2736"/>
    <n v="8208"/>
    <d v="2013-11-01T00:00:00"/>
    <x v="2"/>
    <x v="2"/>
    <n v="2013"/>
  </r>
  <r>
    <x v="1"/>
    <x v="1"/>
    <s v="Paseo"/>
    <s v="None"/>
    <n v="2152"/>
    <n v="10"/>
    <n v="15"/>
    <n v="32280"/>
    <n v="0"/>
    <n v="32280"/>
    <n v="21520"/>
    <n v="10760"/>
    <d v="2013-12-01T00:00:00"/>
    <x v="0"/>
    <x v="0"/>
    <n v="2013"/>
  </r>
  <r>
    <x v="1"/>
    <x v="2"/>
    <s v="Paseo"/>
    <s v="Low"/>
    <n v="2296"/>
    <n v="10"/>
    <n v="15"/>
    <n v="34440"/>
    <n v="344.4"/>
    <n v="34095.599999999999"/>
    <n v="22960"/>
    <n v="11135.6"/>
    <d v="2014-02-01T00:00:00"/>
    <x v="4"/>
    <x v="4"/>
    <n v="2014"/>
  </r>
  <r>
    <x v="1"/>
    <x v="4"/>
    <s v="Paseo"/>
    <s v="Low"/>
    <n v="1514"/>
    <n v="10"/>
    <n v="15"/>
    <n v="22710"/>
    <n v="227.1"/>
    <n v="22482.9"/>
    <n v="15140"/>
    <n v="7342.9"/>
    <d v="2014-02-01T00:00:00"/>
    <x v="4"/>
    <x v="4"/>
    <n v="2014"/>
  </r>
  <r>
    <x v="3"/>
    <x v="4"/>
    <s v="Paseo"/>
    <s v="Low"/>
    <n v="727"/>
    <n v="10"/>
    <n v="125"/>
    <n v="90875"/>
    <n v="908.75"/>
    <n v="89966.25"/>
    <n v="87240"/>
    <n v="2726.25"/>
    <d v="2014-06-01T00:00:00"/>
    <x v="1"/>
    <x v="1"/>
    <n v="2014"/>
  </r>
  <r>
    <x v="3"/>
    <x v="2"/>
    <s v="Paseo"/>
    <s v="Low"/>
    <n v="787"/>
    <n v="10"/>
    <n v="125"/>
    <n v="98375"/>
    <n v="983.75"/>
    <n v="97391.25"/>
    <n v="94440"/>
    <n v="2951.25"/>
    <d v="2014-06-01T00:00:00"/>
    <x v="1"/>
    <x v="1"/>
    <n v="2014"/>
  </r>
  <r>
    <x v="3"/>
    <x v="3"/>
    <s v="Paseo"/>
    <s v="Low"/>
    <n v="1823"/>
    <n v="10"/>
    <n v="125"/>
    <n v="227875"/>
    <n v="2278.75"/>
    <n v="225596.25"/>
    <n v="218760"/>
    <n v="6836.25"/>
    <d v="2014-07-01T00:00:00"/>
    <x v="9"/>
    <x v="9"/>
    <n v="2014"/>
  </r>
  <r>
    <x v="1"/>
    <x v="0"/>
    <s v="Paseo"/>
    <s v="Low"/>
    <n v="747"/>
    <n v="10"/>
    <n v="15"/>
    <n v="11205"/>
    <n v="112.05"/>
    <n v="11092.95"/>
    <n v="7470"/>
    <n v="3622.95"/>
    <d v="2014-09-01T00:00:00"/>
    <x v="3"/>
    <x v="3"/>
    <n v="2014"/>
  </r>
  <r>
    <x v="2"/>
    <x v="0"/>
    <s v="Paseo"/>
    <s v="Low"/>
    <n v="766"/>
    <n v="10"/>
    <n v="12"/>
    <n v="9192"/>
    <n v="91.92"/>
    <n v="9100.08"/>
    <n v="2298"/>
    <n v="6802.08"/>
    <d v="2013-10-01T00:00:00"/>
    <x v="6"/>
    <x v="6"/>
    <n v="2013"/>
  </r>
  <r>
    <x v="4"/>
    <x v="4"/>
    <s v="Paseo"/>
    <s v="Low"/>
    <n v="2905"/>
    <n v="10"/>
    <n v="300"/>
    <n v="871500"/>
    <n v="8715"/>
    <n v="862785"/>
    <n v="726250"/>
    <n v="136535"/>
    <d v="2014-11-01T00:00:00"/>
    <x v="2"/>
    <x v="2"/>
    <n v="2014"/>
  </r>
  <r>
    <x v="1"/>
    <x v="1"/>
    <s v="Paseo"/>
    <s v="Low"/>
    <n v="2363"/>
    <n v="10"/>
    <n v="15"/>
    <n v="35445"/>
    <n v="708.9"/>
    <n v="34736.1"/>
    <n v="23630"/>
    <n v="11106.1"/>
    <d v="2014-02-01T00:00:00"/>
    <x v="4"/>
    <x v="4"/>
    <n v="2014"/>
  </r>
  <r>
    <x v="4"/>
    <x v="2"/>
    <s v="Paseo"/>
    <s v="Low"/>
    <n v="918"/>
    <n v="10"/>
    <n v="300"/>
    <n v="275400"/>
    <n v="5508"/>
    <n v="269892"/>
    <n v="229500"/>
    <n v="40392"/>
    <d v="2014-05-01T00:00:00"/>
    <x v="11"/>
    <x v="11"/>
    <n v="2014"/>
  </r>
  <r>
    <x v="4"/>
    <x v="0"/>
    <s v="Paseo"/>
    <s v="Low"/>
    <n v="1728"/>
    <n v="10"/>
    <n v="300"/>
    <n v="518400"/>
    <n v="10368"/>
    <n v="508032"/>
    <n v="432000"/>
    <n v="76032"/>
    <d v="2014-05-01T00:00:00"/>
    <x v="11"/>
    <x v="11"/>
    <n v="2014"/>
  </r>
  <r>
    <x v="2"/>
    <x v="4"/>
    <s v="Paseo"/>
    <s v="Low"/>
    <n v="1142"/>
    <n v="10"/>
    <n v="12"/>
    <n v="13704"/>
    <n v="274.08"/>
    <n v="13429.92"/>
    <n v="3426"/>
    <n v="10003.92"/>
    <d v="2014-06-01T00:00:00"/>
    <x v="1"/>
    <x v="1"/>
    <n v="2014"/>
  </r>
  <r>
    <x v="3"/>
    <x v="3"/>
    <s v="Paseo"/>
    <s v="Low"/>
    <n v="662"/>
    <n v="10"/>
    <n v="125"/>
    <n v="82750"/>
    <n v="1655"/>
    <n v="81095"/>
    <n v="79440"/>
    <n v="1655"/>
    <d v="2014-06-01T00:00:00"/>
    <x v="1"/>
    <x v="1"/>
    <n v="2014"/>
  </r>
  <r>
    <x v="2"/>
    <x v="1"/>
    <s v="Paseo"/>
    <s v="Low"/>
    <n v="1295"/>
    <n v="10"/>
    <n v="12"/>
    <n v="15540"/>
    <n v="310.8"/>
    <n v="15229.2"/>
    <n v="3885"/>
    <n v="11344.2"/>
    <d v="2014-10-01T00:00:00"/>
    <x v="6"/>
    <x v="6"/>
    <n v="2014"/>
  </r>
  <r>
    <x v="3"/>
    <x v="0"/>
    <s v="Paseo"/>
    <s v="Low"/>
    <n v="809"/>
    <n v="10"/>
    <n v="125"/>
    <n v="101125"/>
    <n v="2022.5"/>
    <n v="99102.5"/>
    <n v="97080"/>
    <n v="2022.5"/>
    <d v="2013-10-01T00:00:00"/>
    <x v="6"/>
    <x v="6"/>
    <n v="2013"/>
  </r>
  <r>
    <x v="3"/>
    <x v="3"/>
    <s v="Paseo"/>
    <s v="Low"/>
    <n v="2145"/>
    <n v="10"/>
    <n v="125"/>
    <n v="268125"/>
    <n v="5362.5"/>
    <n v="262762.5"/>
    <n v="257400"/>
    <n v="5362.5"/>
    <d v="2013-10-01T00:00:00"/>
    <x v="6"/>
    <x v="6"/>
    <n v="2013"/>
  </r>
  <r>
    <x v="2"/>
    <x v="2"/>
    <s v="Paseo"/>
    <s v="Low"/>
    <n v="1785"/>
    <n v="10"/>
    <n v="12"/>
    <n v="21420"/>
    <n v="428.4"/>
    <n v="20991.599999999999"/>
    <n v="5355"/>
    <n v="15636.6"/>
    <d v="2013-11-01T00:00:00"/>
    <x v="2"/>
    <x v="2"/>
    <n v="2013"/>
  </r>
  <r>
    <x v="4"/>
    <x v="1"/>
    <s v="Paseo"/>
    <s v="Low"/>
    <n v="1916"/>
    <n v="10"/>
    <n v="300"/>
    <n v="574800"/>
    <n v="11496"/>
    <n v="563304"/>
    <n v="479000"/>
    <n v="84304"/>
    <d v="2014-12-01T00:00:00"/>
    <x v="0"/>
    <x v="0"/>
    <n v="2014"/>
  </r>
  <r>
    <x v="3"/>
    <x v="1"/>
    <s v="Paseo"/>
    <s v="Low"/>
    <n v="2729"/>
    <n v="10"/>
    <n v="125"/>
    <n v="341125"/>
    <n v="6822.5"/>
    <n v="334302.5"/>
    <n v="327480"/>
    <n v="6822.5"/>
    <d v="2014-12-01T00:00:00"/>
    <x v="0"/>
    <x v="0"/>
    <n v="2014"/>
  </r>
  <r>
    <x v="1"/>
    <x v="4"/>
    <s v="Paseo"/>
    <s v="Low"/>
    <n v="1925"/>
    <n v="10"/>
    <n v="15"/>
    <n v="28875"/>
    <n v="577.5"/>
    <n v="28297.5"/>
    <n v="19250"/>
    <n v="9047.5"/>
    <d v="2013-12-01T00:00:00"/>
    <x v="0"/>
    <x v="0"/>
    <n v="2013"/>
  </r>
  <r>
    <x v="2"/>
    <x v="2"/>
    <s v="Paseo"/>
    <s v="Low"/>
    <n v="1055"/>
    <n v="10"/>
    <n v="12"/>
    <n v="12660"/>
    <n v="253.2"/>
    <n v="12406.8"/>
    <n v="3165"/>
    <n v="9241.7999999999993"/>
    <d v="2014-12-01T00:00:00"/>
    <x v="0"/>
    <x v="0"/>
    <n v="2014"/>
  </r>
  <r>
    <x v="2"/>
    <x v="3"/>
    <s v="Paseo"/>
    <s v="Low"/>
    <n v="1084"/>
    <n v="10"/>
    <n v="12"/>
    <n v="13008"/>
    <n v="260.16000000000003"/>
    <n v="12747.84"/>
    <n v="3252"/>
    <n v="9495.84"/>
    <d v="2014-12-01T00:00:00"/>
    <x v="0"/>
    <x v="0"/>
    <n v="2014"/>
  </r>
  <r>
    <x v="4"/>
    <x v="2"/>
    <s v="Paseo"/>
    <s v="Low"/>
    <n v="2434.5"/>
    <n v="10"/>
    <n v="300"/>
    <n v="730350"/>
    <n v="21910.5"/>
    <n v="708439.5"/>
    <n v="608625"/>
    <n v="99814.5"/>
    <d v="2014-01-01T00:00:00"/>
    <x v="10"/>
    <x v="10"/>
    <n v="2014"/>
  </r>
  <r>
    <x v="3"/>
    <x v="1"/>
    <s v="Paseo"/>
    <s v="Low"/>
    <n v="1774"/>
    <n v="10"/>
    <n v="125"/>
    <n v="221750"/>
    <n v="6652.5"/>
    <n v="215097.5"/>
    <n v="212880"/>
    <n v="2217.5"/>
    <d v="2014-03-01T00:00:00"/>
    <x v="5"/>
    <x v="5"/>
    <n v="2014"/>
  </r>
  <r>
    <x v="2"/>
    <x v="2"/>
    <s v="Paseo"/>
    <s v="Low"/>
    <n v="1901"/>
    <n v="10"/>
    <n v="12"/>
    <n v="22812"/>
    <n v="684.36"/>
    <n v="22127.64"/>
    <n v="5703"/>
    <n v="16424.64"/>
    <d v="2014-06-01T00:00:00"/>
    <x v="1"/>
    <x v="1"/>
    <n v="2014"/>
  </r>
  <r>
    <x v="4"/>
    <x v="0"/>
    <s v="Paseo"/>
    <s v="Low"/>
    <n v="689"/>
    <n v="10"/>
    <n v="300"/>
    <n v="206700"/>
    <n v="6201"/>
    <n v="200499"/>
    <n v="172250"/>
    <n v="28249"/>
    <d v="2014-06-01T00:00:00"/>
    <x v="1"/>
    <x v="1"/>
    <n v="2014"/>
  </r>
  <r>
    <x v="3"/>
    <x v="0"/>
    <s v="Paseo"/>
    <s v="Low"/>
    <n v="1570"/>
    <n v="10"/>
    <n v="125"/>
    <n v="196250"/>
    <n v="5887.5"/>
    <n v="190362.5"/>
    <n v="188400"/>
    <n v="1962.5"/>
    <d v="2014-06-01T00:00:00"/>
    <x v="1"/>
    <x v="1"/>
    <n v="2014"/>
  </r>
  <r>
    <x v="2"/>
    <x v="4"/>
    <s v="Paseo"/>
    <s v="Low"/>
    <n v="1369.5"/>
    <n v="10"/>
    <n v="12"/>
    <n v="16434"/>
    <n v="493.02"/>
    <n v="15940.98"/>
    <n v="4108.5"/>
    <n v="11832.48"/>
    <d v="2014-07-01T00:00:00"/>
    <x v="9"/>
    <x v="9"/>
    <n v="2014"/>
  </r>
  <r>
    <x v="3"/>
    <x v="1"/>
    <s v="Paseo"/>
    <s v="Low"/>
    <n v="2009"/>
    <n v="10"/>
    <n v="125"/>
    <n v="251125"/>
    <n v="7533.75"/>
    <n v="243591.25"/>
    <n v="241080"/>
    <n v="2511.25"/>
    <d v="2014-10-01T00:00:00"/>
    <x v="6"/>
    <x v="6"/>
    <n v="2014"/>
  </r>
  <r>
    <x v="1"/>
    <x v="0"/>
    <s v="Paseo"/>
    <s v="Low"/>
    <n v="1945"/>
    <n v="10"/>
    <n v="15"/>
    <n v="29175"/>
    <n v="875.25"/>
    <n v="28299.75"/>
    <n v="19450"/>
    <n v="8849.75"/>
    <d v="2013-10-01T00:00:00"/>
    <x v="6"/>
    <x v="6"/>
    <n v="2013"/>
  </r>
  <r>
    <x v="3"/>
    <x v="2"/>
    <s v="Paseo"/>
    <s v="Low"/>
    <n v="1287"/>
    <n v="10"/>
    <n v="125"/>
    <n v="160875"/>
    <n v="4826.25"/>
    <n v="156048.75"/>
    <n v="154440"/>
    <n v="1608.75"/>
    <d v="2014-12-01T00:00:00"/>
    <x v="0"/>
    <x v="0"/>
    <n v="2014"/>
  </r>
  <r>
    <x v="3"/>
    <x v="0"/>
    <s v="Paseo"/>
    <s v="Low"/>
    <n v="1706"/>
    <n v="10"/>
    <n v="125"/>
    <n v="213250"/>
    <n v="6397.5"/>
    <n v="206852.5"/>
    <n v="204720"/>
    <n v="2132.5"/>
    <d v="2014-12-01T00:00:00"/>
    <x v="0"/>
    <x v="0"/>
    <n v="2014"/>
  </r>
  <r>
    <x v="1"/>
    <x v="3"/>
    <s v="Paseo"/>
    <s v="Low"/>
    <n v="2031"/>
    <n v="10"/>
    <n v="15"/>
    <n v="30465"/>
    <n v="1218.5999999999999"/>
    <n v="29246.400000000001"/>
    <n v="20310"/>
    <n v="8936.4"/>
    <d v="2014-10-01T00:00:00"/>
    <x v="6"/>
    <x v="6"/>
    <n v="2014"/>
  </r>
  <r>
    <x v="1"/>
    <x v="2"/>
    <s v="Paseo"/>
    <s v="Low"/>
    <n v="2261"/>
    <n v="10"/>
    <n v="15"/>
    <n v="33915"/>
    <n v="1356.6"/>
    <n v="32558.400000000001"/>
    <n v="22610"/>
    <n v="9948.4"/>
    <d v="2013-12-01T00:00:00"/>
    <x v="0"/>
    <x v="0"/>
    <n v="2013"/>
  </r>
  <r>
    <x v="3"/>
    <x v="0"/>
    <s v="Paseo"/>
    <s v="Low"/>
    <n v="795"/>
    <n v="10"/>
    <n v="125"/>
    <n v="99375"/>
    <n v="3975"/>
    <n v="95400"/>
    <n v="95400"/>
    <n v="0"/>
    <d v="2014-03-01T00:00:00"/>
    <x v="5"/>
    <x v="5"/>
    <n v="2014"/>
  </r>
  <r>
    <x v="4"/>
    <x v="0"/>
    <s v="Paseo"/>
    <s v="Low"/>
    <n v="1414.5"/>
    <n v="10"/>
    <n v="300"/>
    <n v="424350"/>
    <n v="16974"/>
    <n v="407376"/>
    <n v="353625"/>
    <n v="53751"/>
    <d v="2014-04-01T00:00:00"/>
    <x v="7"/>
    <x v="7"/>
    <n v="2014"/>
  </r>
  <r>
    <x v="4"/>
    <x v="4"/>
    <s v="Paseo"/>
    <s v="Low"/>
    <n v="2918"/>
    <n v="10"/>
    <n v="300"/>
    <n v="875400"/>
    <n v="35016"/>
    <n v="840384"/>
    <n v="729500"/>
    <n v="110884"/>
    <d v="2014-05-01T00:00:00"/>
    <x v="11"/>
    <x v="11"/>
    <n v="2014"/>
  </r>
  <r>
    <x v="3"/>
    <x v="2"/>
    <s v="Paseo"/>
    <s v="Low"/>
    <n v="2988"/>
    <n v="10"/>
    <n v="125"/>
    <n v="373500"/>
    <n v="14940"/>
    <n v="358560"/>
    <n v="358560"/>
    <n v="0"/>
    <d v="2014-07-01T00:00:00"/>
    <x v="9"/>
    <x v="9"/>
    <n v="2014"/>
  </r>
  <r>
    <x v="1"/>
    <x v="1"/>
    <s v="Paseo"/>
    <s v="Low"/>
    <n v="218"/>
    <n v="10"/>
    <n v="15"/>
    <n v="3270"/>
    <n v="130.80000000000001"/>
    <n v="3139.2"/>
    <n v="2180"/>
    <n v="959.2"/>
    <d v="2014-09-01T00:00:00"/>
    <x v="3"/>
    <x v="3"/>
    <n v="2014"/>
  </r>
  <r>
    <x v="1"/>
    <x v="4"/>
    <s v="Paseo"/>
    <s v="Low"/>
    <n v="671"/>
    <n v="10"/>
    <n v="15"/>
    <n v="10065"/>
    <n v="402.6"/>
    <n v="9662.4"/>
    <n v="6710"/>
    <n v="2952.4"/>
    <d v="2013-10-01T00:00:00"/>
    <x v="6"/>
    <x v="6"/>
    <n v="2013"/>
  </r>
  <r>
    <x v="1"/>
    <x v="3"/>
    <s v="Paseo"/>
    <s v="Low"/>
    <n v="1514"/>
    <n v="10"/>
    <n v="15"/>
    <n v="22710"/>
    <n v="908.4"/>
    <n v="21801.599999999999"/>
    <n v="15140"/>
    <n v="6661.6"/>
    <d v="2013-10-01T00:00:00"/>
    <x v="6"/>
    <x v="6"/>
    <n v="2013"/>
  </r>
  <r>
    <x v="3"/>
    <x v="3"/>
    <s v="Paseo"/>
    <s v="Low"/>
    <n v="1138"/>
    <n v="10"/>
    <n v="125"/>
    <n v="142250"/>
    <n v="5690"/>
    <n v="136560"/>
    <n v="136560"/>
    <n v="0"/>
    <d v="2014-12-01T00:00:00"/>
    <x v="0"/>
    <x v="0"/>
    <n v="2014"/>
  </r>
  <r>
    <x v="2"/>
    <x v="1"/>
    <s v="Paseo"/>
    <s v="Medium"/>
    <n v="2431"/>
    <n v="10"/>
    <n v="12"/>
    <n v="29172"/>
    <n v="1458.6"/>
    <n v="27713.4"/>
    <n v="7293"/>
    <n v="20420.400000000001"/>
    <d v="2014-12-01T00:00:00"/>
    <x v="0"/>
    <x v="0"/>
    <n v="2014"/>
  </r>
  <r>
    <x v="3"/>
    <x v="4"/>
    <s v="Paseo"/>
    <s v="Medium"/>
    <n v="2992"/>
    <n v="10"/>
    <n v="125"/>
    <n v="374000"/>
    <n v="18700"/>
    <n v="355300"/>
    <n v="359040"/>
    <n v="-3740"/>
    <d v="2014-03-01T00:00:00"/>
    <x v="5"/>
    <x v="5"/>
    <n v="2014"/>
  </r>
  <r>
    <x v="3"/>
    <x v="2"/>
    <s v="Paseo"/>
    <s v="Medium"/>
    <n v="2385"/>
    <n v="10"/>
    <n v="125"/>
    <n v="298125"/>
    <n v="14906.25"/>
    <n v="283218.75"/>
    <n v="286200"/>
    <n v="-2981.25"/>
    <d v="2014-03-01T00:00:00"/>
    <x v="5"/>
    <x v="5"/>
    <n v="2014"/>
  </r>
  <r>
    <x v="4"/>
    <x v="3"/>
    <s v="Paseo"/>
    <s v="Medium"/>
    <n v="1607"/>
    <n v="10"/>
    <n v="300"/>
    <n v="482100"/>
    <n v="24105"/>
    <n v="457995"/>
    <n v="401750"/>
    <n v="56245"/>
    <d v="2014-04-01T00:00:00"/>
    <x v="7"/>
    <x v="7"/>
    <n v="2014"/>
  </r>
  <r>
    <x v="4"/>
    <x v="4"/>
    <s v="Paseo"/>
    <s v="Medium"/>
    <n v="991"/>
    <n v="10"/>
    <n v="300"/>
    <n v="297300"/>
    <n v="14865"/>
    <n v="282435"/>
    <n v="247750"/>
    <n v="34685"/>
    <d v="2014-06-01T00:00:00"/>
    <x v="1"/>
    <x v="1"/>
    <n v="2014"/>
  </r>
  <r>
    <x v="1"/>
    <x v="2"/>
    <s v="Paseo"/>
    <s v="Medium"/>
    <n v="2620"/>
    <n v="10"/>
    <n v="15"/>
    <n v="39300"/>
    <n v="1965"/>
    <n v="37335"/>
    <n v="26200"/>
    <n v="11135"/>
    <d v="2014-09-01T00:00:00"/>
    <x v="3"/>
    <x v="3"/>
    <n v="2014"/>
  </r>
  <r>
    <x v="3"/>
    <x v="4"/>
    <s v="Paseo"/>
    <s v="Medium"/>
    <n v="861"/>
    <n v="10"/>
    <n v="125"/>
    <n v="107625"/>
    <n v="5381.25"/>
    <n v="102243.75"/>
    <n v="103320"/>
    <n v="-1076.25"/>
    <d v="2014-10-01T00:00:00"/>
    <x v="6"/>
    <x v="6"/>
    <n v="2014"/>
  </r>
  <r>
    <x v="3"/>
    <x v="2"/>
    <s v="Paseo"/>
    <s v="Medium"/>
    <n v="704"/>
    <n v="10"/>
    <n v="125"/>
    <n v="88000"/>
    <n v="4400"/>
    <n v="83600"/>
    <n v="84480"/>
    <n v="-880"/>
    <d v="2013-10-01T00:00:00"/>
    <x v="6"/>
    <x v="6"/>
    <n v="2013"/>
  </r>
  <r>
    <x v="1"/>
    <x v="0"/>
    <s v="Paseo"/>
    <s v="Medium"/>
    <n v="2116"/>
    <n v="10"/>
    <n v="15"/>
    <n v="31740"/>
    <n v="1587"/>
    <n v="30153"/>
    <n v="21160"/>
    <n v="8993"/>
    <d v="2013-12-01T00:00:00"/>
    <x v="0"/>
    <x v="0"/>
    <n v="2013"/>
  </r>
  <r>
    <x v="1"/>
    <x v="2"/>
    <s v="Paseo"/>
    <s v="Medium"/>
    <n v="3801"/>
    <n v="10"/>
    <n v="15"/>
    <n v="57015"/>
    <n v="3420.9"/>
    <n v="53594.1"/>
    <n v="38010"/>
    <n v="15584.1"/>
    <d v="2014-04-01T00:00:00"/>
    <x v="7"/>
    <x v="7"/>
    <n v="2014"/>
  </r>
  <r>
    <x v="2"/>
    <x v="1"/>
    <s v="Paseo"/>
    <s v="Medium"/>
    <n v="2299"/>
    <n v="10"/>
    <n v="12"/>
    <n v="27588"/>
    <n v="1655.28"/>
    <n v="25932.720000000001"/>
    <n v="6897"/>
    <n v="19035.72"/>
    <d v="2013-10-01T00:00:00"/>
    <x v="6"/>
    <x v="6"/>
    <n v="2013"/>
  </r>
  <r>
    <x v="1"/>
    <x v="4"/>
    <s v="Paseo"/>
    <s v="Medium"/>
    <n v="2198"/>
    <n v="10"/>
    <n v="15"/>
    <n v="32970"/>
    <n v="1978.2"/>
    <n v="30991.8"/>
    <n v="21980"/>
    <n v="9011.7999999999993"/>
    <d v="2014-08-01T00:00:00"/>
    <x v="8"/>
    <x v="8"/>
    <n v="2014"/>
  </r>
  <r>
    <x v="1"/>
    <x v="0"/>
    <s v="Paseo"/>
    <s v="Medium"/>
    <n v="1743"/>
    <n v="10"/>
    <n v="15"/>
    <n v="26145"/>
    <n v="1568.7"/>
    <n v="24576.3"/>
    <n v="17430"/>
    <n v="7146.3"/>
    <d v="2014-08-01T00:00:00"/>
    <x v="8"/>
    <x v="8"/>
    <n v="2014"/>
  </r>
  <r>
    <x v="1"/>
    <x v="4"/>
    <s v="Paseo"/>
    <s v="Medium"/>
    <n v="1153"/>
    <n v="10"/>
    <n v="15"/>
    <n v="17295"/>
    <n v="1037.7"/>
    <n v="16257.3"/>
    <n v="11530"/>
    <n v="4727.3"/>
    <d v="2014-10-01T00:00:00"/>
    <x v="6"/>
    <x v="6"/>
    <n v="2014"/>
  </r>
  <r>
    <x v="4"/>
    <x v="1"/>
    <s v="Paseo"/>
    <s v="Medium"/>
    <n v="1702"/>
    <n v="10"/>
    <n v="300"/>
    <n v="510600"/>
    <n v="35742"/>
    <n v="474858"/>
    <n v="425500"/>
    <n v="49358"/>
    <d v="2014-05-01T00:00:00"/>
    <x v="11"/>
    <x v="11"/>
    <n v="2014"/>
  </r>
  <r>
    <x v="4"/>
    <x v="2"/>
    <s v="Paseo"/>
    <s v="Medium"/>
    <n v="448"/>
    <n v="10"/>
    <n v="300"/>
    <n v="134400"/>
    <n v="9408"/>
    <n v="124992"/>
    <n v="112000"/>
    <n v="12992"/>
    <d v="2014-06-01T00:00:00"/>
    <x v="1"/>
    <x v="1"/>
    <n v="2014"/>
  </r>
  <r>
    <x v="3"/>
    <x v="0"/>
    <s v="Paseo"/>
    <s v="Medium"/>
    <n v="3513"/>
    <n v="10"/>
    <n v="125"/>
    <n v="439125"/>
    <n v="30738.75"/>
    <n v="408386.25"/>
    <n v="421560"/>
    <n v="-13173.75"/>
    <d v="2014-07-01T00:00:00"/>
    <x v="9"/>
    <x v="9"/>
    <n v="2014"/>
  </r>
  <r>
    <x v="1"/>
    <x v="2"/>
    <s v="Paseo"/>
    <s v="Medium"/>
    <n v="2101"/>
    <n v="10"/>
    <n v="15"/>
    <n v="31515"/>
    <n v="2206.0500000000002"/>
    <n v="29308.95"/>
    <n v="21010"/>
    <n v="8298.9500000000007"/>
    <d v="2014-08-01T00:00:00"/>
    <x v="8"/>
    <x v="8"/>
    <n v="2014"/>
  </r>
  <r>
    <x v="1"/>
    <x v="4"/>
    <s v="Paseo"/>
    <s v="Medium"/>
    <n v="2931"/>
    <n v="10"/>
    <n v="15"/>
    <n v="43965"/>
    <n v="3077.55"/>
    <n v="40887.449999999997"/>
    <n v="29310"/>
    <n v="11577.45"/>
    <d v="2013-09-01T00:00:00"/>
    <x v="3"/>
    <x v="3"/>
    <n v="2013"/>
  </r>
  <r>
    <x v="4"/>
    <x v="0"/>
    <s v="Paseo"/>
    <s v="Medium"/>
    <n v="1123"/>
    <n v="10"/>
    <n v="300"/>
    <n v="336900"/>
    <n v="23583"/>
    <n v="313317"/>
    <n v="280750"/>
    <n v="32567"/>
    <d v="2013-09-01T00:00:00"/>
    <x v="3"/>
    <x v="3"/>
    <n v="2013"/>
  </r>
  <r>
    <x v="4"/>
    <x v="1"/>
    <s v="Paseo"/>
    <s v="Medium"/>
    <n v="1404"/>
    <n v="10"/>
    <n v="300"/>
    <n v="421200"/>
    <n v="29484"/>
    <n v="391716"/>
    <n v="351000"/>
    <n v="40716"/>
    <d v="2013-11-01T00:00:00"/>
    <x v="2"/>
    <x v="2"/>
    <n v="2013"/>
  </r>
  <r>
    <x v="2"/>
    <x v="3"/>
    <s v="Paseo"/>
    <s v="Medium"/>
    <n v="2763"/>
    <n v="10"/>
    <n v="12"/>
    <n v="33156"/>
    <n v="2320.92"/>
    <n v="30835.08"/>
    <n v="8289"/>
    <n v="22546.080000000002"/>
    <d v="2013-11-01T00:00:00"/>
    <x v="2"/>
    <x v="2"/>
    <n v="2013"/>
  </r>
  <r>
    <x v="3"/>
    <x v="3"/>
    <s v="Paseo"/>
    <s v="Medium"/>
    <n v="1114"/>
    <n v="10"/>
    <n v="125"/>
    <n v="139250"/>
    <n v="11140"/>
    <n v="128110"/>
    <n v="133680"/>
    <n v="-5570"/>
    <d v="2014-03-01T00:00:00"/>
    <x v="5"/>
    <x v="5"/>
    <n v="2014"/>
  </r>
  <r>
    <x v="4"/>
    <x v="3"/>
    <s v="Paseo"/>
    <s v="Medium"/>
    <n v="2460"/>
    <n v="10"/>
    <n v="300"/>
    <n v="738000"/>
    <n v="59040"/>
    <n v="678960"/>
    <n v="615000"/>
    <n v="63960"/>
    <d v="2014-06-01T00:00:00"/>
    <x v="1"/>
    <x v="1"/>
    <n v="2014"/>
  </r>
  <r>
    <x v="4"/>
    <x v="3"/>
    <s v="Paseo"/>
    <s v="Medium"/>
    <n v="2565"/>
    <n v="10"/>
    <n v="300"/>
    <n v="769500"/>
    <n v="69255"/>
    <n v="700245"/>
    <n v="641250"/>
    <n v="58995"/>
    <d v="2014-01-01T00:00:00"/>
    <x v="10"/>
    <x v="10"/>
    <n v="2014"/>
  </r>
  <r>
    <x v="1"/>
    <x v="4"/>
    <s v="Paseo"/>
    <s v="Medium"/>
    <n v="3675"/>
    <n v="10"/>
    <n v="15"/>
    <n v="55125"/>
    <n v="4961.25"/>
    <n v="50163.75"/>
    <n v="36750"/>
    <n v="13413.75"/>
    <d v="2014-04-01T00:00:00"/>
    <x v="7"/>
    <x v="7"/>
    <n v="2014"/>
  </r>
  <r>
    <x v="4"/>
    <x v="1"/>
    <s v="Paseo"/>
    <s v="Medium"/>
    <n v="1094"/>
    <n v="10"/>
    <n v="300"/>
    <n v="328200"/>
    <n v="29538"/>
    <n v="298662"/>
    <n v="273500"/>
    <n v="25162"/>
    <d v="2014-06-01T00:00:00"/>
    <x v="1"/>
    <x v="1"/>
    <n v="2014"/>
  </r>
  <r>
    <x v="1"/>
    <x v="2"/>
    <s v="Paseo"/>
    <s v="Medium"/>
    <n v="1227"/>
    <n v="10"/>
    <n v="15"/>
    <n v="18405"/>
    <n v="1656.45"/>
    <n v="16748.55"/>
    <n v="12270"/>
    <n v="4478.55"/>
    <d v="2014-10-01T00:00:00"/>
    <x v="6"/>
    <x v="6"/>
    <n v="2014"/>
  </r>
  <r>
    <x v="2"/>
    <x v="3"/>
    <s v="Paseo"/>
    <s v="Medium"/>
    <n v="367"/>
    <n v="10"/>
    <n v="12"/>
    <n v="4404"/>
    <n v="396.36"/>
    <n v="4007.64"/>
    <n v="1101"/>
    <n v="2906.64"/>
    <d v="2013-10-01T00:00:00"/>
    <x v="6"/>
    <x v="6"/>
    <n v="2013"/>
  </r>
  <r>
    <x v="4"/>
    <x v="2"/>
    <s v="Paseo"/>
    <s v="Medium"/>
    <n v="1324"/>
    <n v="10"/>
    <n v="300"/>
    <n v="397200"/>
    <n v="35748"/>
    <n v="361452"/>
    <n v="331000"/>
    <n v="30452"/>
    <d v="2014-11-01T00:00:00"/>
    <x v="2"/>
    <x v="2"/>
    <n v="2014"/>
  </r>
  <r>
    <x v="2"/>
    <x v="0"/>
    <s v="Paseo"/>
    <s v="Medium"/>
    <n v="1775"/>
    <n v="10"/>
    <n v="12"/>
    <n v="21300"/>
    <n v="1917"/>
    <n v="19383"/>
    <n v="5325"/>
    <n v="14058"/>
    <d v="2013-11-01T00:00:00"/>
    <x v="2"/>
    <x v="2"/>
    <n v="2013"/>
  </r>
  <r>
    <x v="3"/>
    <x v="4"/>
    <s v="Paseo"/>
    <s v="Medium"/>
    <n v="2797"/>
    <n v="10"/>
    <n v="125"/>
    <n v="349625"/>
    <n v="31466.25"/>
    <n v="318158.75"/>
    <n v="335640"/>
    <n v="-17481.25"/>
    <d v="2014-12-01T00:00:00"/>
    <x v="0"/>
    <x v="0"/>
    <n v="2014"/>
  </r>
  <r>
    <x v="2"/>
    <x v="4"/>
    <s v="Paseo"/>
    <s v="High"/>
    <n v="386"/>
    <n v="10"/>
    <n v="12"/>
    <n v="4632"/>
    <n v="463.2"/>
    <n v="4168.8"/>
    <n v="1158"/>
    <n v="3010.8"/>
    <d v="2013-10-01T00:00:00"/>
    <x v="6"/>
    <x v="6"/>
    <n v="2013"/>
  </r>
  <r>
    <x v="4"/>
    <x v="3"/>
    <s v="Paseo"/>
    <s v="High"/>
    <n v="591"/>
    <n v="10"/>
    <n v="300"/>
    <n v="177300"/>
    <n v="17730"/>
    <n v="159570"/>
    <n v="147750"/>
    <n v="11820"/>
    <d v="2014-05-01T00:00:00"/>
    <x v="11"/>
    <x v="11"/>
    <n v="2014"/>
  </r>
  <r>
    <x v="1"/>
    <x v="2"/>
    <s v="Paseo"/>
    <s v="High"/>
    <n v="2167"/>
    <n v="10"/>
    <n v="15"/>
    <n v="32505"/>
    <n v="3250.5"/>
    <n v="29254.5"/>
    <n v="21670"/>
    <n v="7584.5"/>
    <d v="2013-10-01T00:00:00"/>
    <x v="6"/>
    <x v="6"/>
    <n v="2013"/>
  </r>
  <r>
    <x v="2"/>
    <x v="2"/>
    <s v="Paseo"/>
    <s v="High"/>
    <n v="1198"/>
    <n v="10"/>
    <n v="12"/>
    <n v="14376"/>
    <n v="1581.36"/>
    <n v="12794.64"/>
    <n v="3594"/>
    <n v="9200.64"/>
    <d v="2013-10-01T00:00:00"/>
    <x v="6"/>
    <x v="6"/>
    <n v="2013"/>
  </r>
  <r>
    <x v="4"/>
    <x v="1"/>
    <s v="Paseo"/>
    <s v="High"/>
    <n v="873"/>
    <n v="10"/>
    <n v="300"/>
    <n v="261900"/>
    <n v="28809"/>
    <n v="233091"/>
    <n v="218250"/>
    <n v="14841"/>
    <d v="2014-01-01T00:00:00"/>
    <x v="10"/>
    <x v="10"/>
    <n v="2014"/>
  </r>
  <r>
    <x v="2"/>
    <x v="1"/>
    <s v="Paseo"/>
    <s v="High"/>
    <n v="4026"/>
    <n v="10"/>
    <n v="12"/>
    <n v="48312"/>
    <n v="5314.32"/>
    <n v="42997.68"/>
    <n v="12078"/>
    <n v="30919.68"/>
    <d v="2014-07-01T00:00:00"/>
    <x v="9"/>
    <x v="9"/>
    <n v="2014"/>
  </r>
  <r>
    <x v="2"/>
    <x v="2"/>
    <s v="Paseo"/>
    <s v="High"/>
    <n v="2425.5"/>
    <n v="10"/>
    <n v="12"/>
    <n v="29106"/>
    <n v="3201.66"/>
    <n v="25904.34"/>
    <n v="7276.5"/>
    <n v="18627.84"/>
    <d v="2014-07-01T00:00:00"/>
    <x v="9"/>
    <x v="9"/>
    <n v="2014"/>
  </r>
  <r>
    <x v="1"/>
    <x v="3"/>
    <s v="Paseo"/>
    <s v="High"/>
    <n v="1984"/>
    <n v="10"/>
    <n v="15"/>
    <n v="29760"/>
    <n v="3273.6"/>
    <n v="26486.400000000001"/>
    <n v="19840"/>
    <n v="6646.4"/>
    <d v="2014-08-01T00:00:00"/>
    <x v="8"/>
    <x v="8"/>
    <n v="2014"/>
  </r>
  <r>
    <x v="3"/>
    <x v="2"/>
    <s v="Paseo"/>
    <s v="High"/>
    <n v="2441"/>
    <n v="10"/>
    <n v="125"/>
    <n v="305125"/>
    <n v="33563.75"/>
    <n v="271561.25"/>
    <n v="292920"/>
    <n v="-21358.75"/>
    <d v="2014-10-01T00:00:00"/>
    <x v="6"/>
    <x v="6"/>
    <n v="2014"/>
  </r>
  <r>
    <x v="4"/>
    <x v="1"/>
    <s v="Paseo"/>
    <s v="High"/>
    <n v="1366"/>
    <n v="10"/>
    <n v="300"/>
    <n v="409800"/>
    <n v="45078"/>
    <n v="364722"/>
    <n v="341500"/>
    <n v="23222"/>
    <d v="2014-11-01T00:00:00"/>
    <x v="2"/>
    <x v="2"/>
    <n v="2014"/>
  </r>
  <r>
    <x v="4"/>
    <x v="4"/>
    <s v="Paseo"/>
    <s v="High"/>
    <n v="3495"/>
    <n v="10"/>
    <n v="300"/>
    <n v="1048500"/>
    <n v="125820"/>
    <n v="922680"/>
    <n v="873750"/>
    <n v="48930"/>
    <d v="2014-01-01T00:00:00"/>
    <x v="10"/>
    <x v="10"/>
    <n v="2014"/>
  </r>
  <r>
    <x v="3"/>
    <x v="3"/>
    <s v="Paseo"/>
    <s v="High"/>
    <n v="2156"/>
    <n v="10"/>
    <n v="125"/>
    <n v="269500"/>
    <n v="32340"/>
    <n v="237160"/>
    <n v="258720"/>
    <n v="-21560"/>
    <d v="2014-10-01T00:00:00"/>
    <x v="6"/>
    <x v="6"/>
    <n v="2014"/>
  </r>
  <r>
    <x v="4"/>
    <x v="0"/>
    <s v="Paseo"/>
    <s v="High"/>
    <n v="1359"/>
    <n v="10"/>
    <n v="300"/>
    <n v="407700"/>
    <n v="48924"/>
    <n v="358776"/>
    <n v="339750"/>
    <n v="19026"/>
    <d v="2014-11-01T00:00:00"/>
    <x v="2"/>
    <x v="2"/>
    <n v="2014"/>
  </r>
  <r>
    <x v="4"/>
    <x v="3"/>
    <s v="Paseo"/>
    <s v="High"/>
    <n v="2150"/>
    <n v="10"/>
    <n v="300"/>
    <n v="645000"/>
    <n v="77400"/>
    <n v="567600"/>
    <n v="537500"/>
    <n v="30100"/>
    <d v="2014-11-01T00:00:00"/>
    <x v="2"/>
    <x v="2"/>
    <n v="2014"/>
  </r>
  <r>
    <x v="1"/>
    <x v="3"/>
    <s v="Paseo"/>
    <s v="High"/>
    <n v="380"/>
    <n v="10"/>
    <n v="15"/>
    <n v="5700"/>
    <n v="684"/>
    <n v="5016"/>
    <n v="3800"/>
    <n v="1216"/>
    <d v="2013-12-01T00:00:00"/>
    <x v="0"/>
    <x v="0"/>
    <n v="2013"/>
  </r>
  <r>
    <x v="4"/>
    <x v="0"/>
    <s v="Paseo"/>
    <s v="High"/>
    <n v="807"/>
    <n v="10"/>
    <n v="300"/>
    <n v="242100"/>
    <n v="31473"/>
    <n v="210627"/>
    <n v="201750"/>
    <n v="8877"/>
    <d v="2014-01-01T00:00:00"/>
    <x v="10"/>
    <x v="10"/>
    <n v="2014"/>
  </r>
  <r>
    <x v="3"/>
    <x v="1"/>
    <s v="Paseo"/>
    <s v="High"/>
    <n v="1583"/>
    <n v="10"/>
    <n v="125"/>
    <n v="197875"/>
    <n v="25723.75"/>
    <n v="172151.25"/>
    <n v="189960"/>
    <n v="-17808.75"/>
    <d v="2014-06-01T00:00:00"/>
    <x v="1"/>
    <x v="1"/>
    <n v="2014"/>
  </r>
  <r>
    <x v="2"/>
    <x v="3"/>
    <s v="Paseo"/>
    <s v="High"/>
    <n v="571"/>
    <n v="10"/>
    <n v="12"/>
    <n v="6852"/>
    <n v="890.76"/>
    <n v="5961.24"/>
    <n v="1713"/>
    <n v="4248.24"/>
    <d v="2014-07-01T00:00:00"/>
    <x v="9"/>
    <x v="9"/>
    <n v="2014"/>
  </r>
  <r>
    <x v="1"/>
    <x v="1"/>
    <s v="Paseo"/>
    <s v="High"/>
    <n v="1565"/>
    <n v="10"/>
    <n v="15"/>
    <n v="23475"/>
    <n v="3051.75"/>
    <n v="20423.25"/>
    <n v="15650"/>
    <n v="4773.25"/>
    <d v="2014-10-01T00:00:00"/>
    <x v="6"/>
    <x v="6"/>
    <n v="2014"/>
  </r>
  <r>
    <x v="2"/>
    <x v="0"/>
    <s v="Paseo"/>
    <s v="High"/>
    <n v="1013"/>
    <n v="10"/>
    <n v="12"/>
    <n v="12156"/>
    <n v="1580.28"/>
    <n v="10575.72"/>
    <n v="3039"/>
    <n v="7536.72"/>
    <d v="2014-12-01T00:00:00"/>
    <x v="0"/>
    <x v="0"/>
    <n v="2014"/>
  </r>
  <r>
    <x v="1"/>
    <x v="0"/>
    <s v="Paseo"/>
    <s v="High"/>
    <n v="278"/>
    <n v="10"/>
    <n v="15"/>
    <n v="4170"/>
    <n v="583.79999999999995"/>
    <n v="3586.2"/>
    <n v="2780"/>
    <n v="806.2"/>
    <d v="2014-02-01T00:00:00"/>
    <x v="4"/>
    <x v="4"/>
    <n v="2014"/>
  </r>
  <r>
    <x v="1"/>
    <x v="4"/>
    <s v="Paseo"/>
    <s v="High"/>
    <n v="1767"/>
    <n v="10"/>
    <n v="15"/>
    <n v="26505"/>
    <n v="3710.7"/>
    <n v="22794.3"/>
    <n v="17670"/>
    <n v="5124.3"/>
    <d v="2014-09-01T00:00:00"/>
    <x v="3"/>
    <x v="3"/>
    <n v="2014"/>
  </r>
  <r>
    <x v="2"/>
    <x v="2"/>
    <s v="Paseo"/>
    <s v="High"/>
    <n v="1393"/>
    <n v="10"/>
    <n v="12"/>
    <n v="16716"/>
    <n v="2340.2399999999998"/>
    <n v="14375.76"/>
    <n v="4179"/>
    <n v="10196.76"/>
    <d v="2014-10-01T00:00:00"/>
    <x v="6"/>
    <x v="6"/>
    <n v="2014"/>
  </r>
  <r>
    <x v="1"/>
    <x v="1"/>
    <s v="Paseo"/>
    <s v="High"/>
    <n v="2470"/>
    <n v="10"/>
    <n v="15"/>
    <n v="37050"/>
    <n v="5187"/>
    <n v="31863"/>
    <n v="24700"/>
    <n v="7163"/>
    <d v="2013-09-01T00:00:00"/>
    <x v="3"/>
    <x v="3"/>
    <n v="2013"/>
  </r>
  <r>
    <x v="1"/>
    <x v="1"/>
    <s v="Paseo"/>
    <s v="High"/>
    <n v="1743"/>
    <n v="10"/>
    <n v="15"/>
    <n v="26145"/>
    <n v="3660.3"/>
    <n v="22484.7"/>
    <n v="17430"/>
    <n v="5054.7"/>
    <d v="2013-10-01T00:00:00"/>
    <x v="6"/>
    <x v="6"/>
    <n v="2013"/>
  </r>
  <r>
    <x v="2"/>
    <x v="4"/>
    <s v="Paseo"/>
    <s v="High"/>
    <n v="2914"/>
    <n v="10"/>
    <n v="12"/>
    <n v="34968"/>
    <n v="4895.5200000000004"/>
    <n v="30072.48"/>
    <n v="8742"/>
    <n v="21330.48"/>
    <d v="2014-10-01T00:00:00"/>
    <x v="6"/>
    <x v="6"/>
    <n v="2014"/>
  </r>
  <r>
    <x v="2"/>
    <x v="1"/>
    <s v="Paseo"/>
    <s v="High"/>
    <n v="2222"/>
    <n v="10"/>
    <n v="12"/>
    <n v="26664"/>
    <n v="3732.96"/>
    <n v="22931.040000000001"/>
    <n v="6666"/>
    <n v="16265.04"/>
    <d v="2013-11-01T00:00:00"/>
    <x v="2"/>
    <x v="2"/>
    <n v="2013"/>
  </r>
  <r>
    <x v="1"/>
    <x v="1"/>
    <s v="Paseo"/>
    <s v="High"/>
    <n v="1614"/>
    <n v="10"/>
    <n v="15"/>
    <n v="24210"/>
    <n v="3631.5"/>
    <n v="20578.5"/>
    <n v="16140"/>
    <n v="4438.5"/>
    <d v="2014-04-01T00:00:00"/>
    <x v="7"/>
    <x v="7"/>
    <n v="2014"/>
  </r>
  <r>
    <x v="1"/>
    <x v="1"/>
    <s v="Paseo"/>
    <s v="High"/>
    <n v="2559"/>
    <n v="10"/>
    <n v="15"/>
    <n v="38385"/>
    <n v="5757.75"/>
    <n v="32627.25"/>
    <n v="25590"/>
    <n v="7037.25"/>
    <d v="2014-08-01T00:00:00"/>
    <x v="8"/>
    <x v="8"/>
    <n v="2014"/>
  </r>
  <r>
    <x v="3"/>
    <x v="0"/>
    <s v="Paseo"/>
    <s v="High"/>
    <n v="1085"/>
    <n v="10"/>
    <n v="125"/>
    <n v="135625"/>
    <n v="20343.75"/>
    <n v="115281.25"/>
    <n v="130200"/>
    <n v="-14918.75"/>
    <d v="2014-10-01T00:00:00"/>
    <x v="6"/>
    <x v="6"/>
    <n v="2014"/>
  </r>
  <r>
    <x v="1"/>
    <x v="0"/>
    <s v="Paseo"/>
    <s v="High"/>
    <n v="1175"/>
    <n v="10"/>
    <n v="15"/>
    <n v="17625"/>
    <n v="2643.75"/>
    <n v="14981.25"/>
    <n v="11750"/>
    <n v="3231.25"/>
    <d v="2014-10-01T00:00:00"/>
    <x v="6"/>
    <x v="6"/>
    <n v="2014"/>
  </r>
  <r>
    <x v="2"/>
    <x v="4"/>
    <s v="Paseo"/>
    <s v="High"/>
    <n v="914"/>
    <n v="10"/>
    <n v="12"/>
    <n v="10968"/>
    <n v="1645.2"/>
    <n v="9322.7999999999993"/>
    <n v="2742"/>
    <n v="6580.8"/>
    <d v="2014-12-01T00:00:00"/>
    <x v="0"/>
    <x v="0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37881-43A9-4352-A3EA-4051EE22180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6"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60316-07C3-4520-91DB-23441CF496A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5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D7A95-DBDF-46BA-B208-B641AC3F4EB1}" name="PivotTable3" cacheId="8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axis="axisRow" showAll="0">
      <items count="13">
        <item x="10"/>
        <item x="4"/>
        <item x="5"/>
        <item x="7"/>
        <item x="11"/>
        <item x="1"/>
        <item x="9"/>
        <item x="8"/>
        <item x="3"/>
        <item x="6"/>
        <item x="2"/>
        <item x="0"/>
        <item t="default"/>
      </items>
    </pivotField>
    <pivotField showAll="0">
      <items count="13">
        <item x="10"/>
        <item x="4"/>
        <item x="5"/>
        <item x="7"/>
        <item x="11"/>
        <item x="1"/>
        <item x="9"/>
        <item x="8"/>
        <item x="3"/>
        <item x="6"/>
        <item x="2"/>
        <item x="0"/>
        <item t="default"/>
      </items>
    </pivotField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60F9-E7BF-4BE3-AACE-567A6D439672}">
  <dimension ref="A3:B9"/>
  <sheetViews>
    <sheetView workbookViewId="0">
      <selection activeCell="A5" sqref="A4:A8"/>
    </sheetView>
  </sheetViews>
  <sheetFormatPr defaultRowHeight="14.5" x14ac:dyDescent="0.35"/>
  <cols>
    <col min="1" max="1" width="21.54296875" bestFit="1" customWidth="1"/>
    <col min="2" max="2" width="11.81640625" bestFit="1" customWidth="1"/>
  </cols>
  <sheetData>
    <row r="3" spans="1:2" x14ac:dyDescent="0.35">
      <c r="A3" s="3" t="s">
        <v>48</v>
      </c>
      <c r="B3" t="s">
        <v>50</v>
      </c>
    </row>
    <row r="4" spans="1:2" x14ac:dyDescent="0.35">
      <c r="A4" s="4" t="s">
        <v>23</v>
      </c>
      <c r="B4" s="5">
        <v>24887654.88499999</v>
      </c>
    </row>
    <row r="5" spans="1:2" x14ac:dyDescent="0.35">
      <c r="A5" s="4" t="s">
        <v>26</v>
      </c>
      <c r="B5" s="5">
        <v>24354172.280000009</v>
      </c>
    </row>
    <row r="6" spans="1:2" x14ac:dyDescent="0.35">
      <c r="A6" s="4" t="s">
        <v>17</v>
      </c>
      <c r="B6" s="5">
        <v>23505340.820000004</v>
      </c>
    </row>
    <row r="7" spans="1:2" x14ac:dyDescent="0.35">
      <c r="A7" s="4" t="s">
        <v>31</v>
      </c>
      <c r="B7" s="5">
        <v>20949352.109999992</v>
      </c>
    </row>
    <row r="8" spans="1:2" x14ac:dyDescent="0.35">
      <c r="A8" s="4" t="s">
        <v>36</v>
      </c>
      <c r="B8" s="5">
        <v>25029830.165000007</v>
      </c>
    </row>
    <row r="9" spans="1:2" x14ac:dyDescent="0.35">
      <c r="A9" s="4" t="s">
        <v>49</v>
      </c>
      <c r="B9" s="5">
        <v>118726350.26000001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A762-05F4-4085-87B5-056CCBB21796}">
  <dimension ref="A3:B9"/>
  <sheetViews>
    <sheetView workbookViewId="0">
      <selection activeCell="B6" sqref="B6"/>
    </sheetView>
  </sheetViews>
  <sheetFormatPr defaultRowHeight="14.5" x14ac:dyDescent="0.35"/>
  <cols>
    <col min="1" max="1" width="15.1796875" bestFit="1" customWidth="1"/>
    <col min="2" max="2" width="11.81640625" bestFit="1" customWidth="1"/>
  </cols>
  <sheetData>
    <row r="3" spans="1:2" x14ac:dyDescent="0.35">
      <c r="A3" s="3" t="s">
        <v>48</v>
      </c>
      <c r="B3" t="s">
        <v>51</v>
      </c>
    </row>
    <row r="4" spans="1:2" x14ac:dyDescent="0.35">
      <c r="A4" s="4" t="s">
        <v>45</v>
      </c>
      <c r="B4" s="5">
        <v>1316803.1400000004</v>
      </c>
    </row>
    <row r="5" spans="1:2" x14ac:dyDescent="0.35">
      <c r="A5" s="4" t="s">
        <v>46</v>
      </c>
      <c r="B5" s="5">
        <v>-614545.625</v>
      </c>
    </row>
    <row r="6" spans="1:2" x14ac:dyDescent="0.35">
      <c r="A6" s="4" t="s">
        <v>16</v>
      </c>
      <c r="B6" s="5">
        <v>11388173.169999994</v>
      </c>
    </row>
    <row r="7" spans="1:2" x14ac:dyDescent="0.35">
      <c r="A7" s="4" t="s">
        <v>44</v>
      </c>
      <c r="B7" s="5">
        <v>660103.07500000007</v>
      </c>
    </row>
    <row r="8" spans="1:2" x14ac:dyDescent="0.35">
      <c r="A8" s="4" t="s">
        <v>47</v>
      </c>
      <c r="B8" s="5">
        <v>4143168.5</v>
      </c>
    </row>
    <row r="9" spans="1:2" x14ac:dyDescent="0.35">
      <c r="A9" s="4" t="s">
        <v>49</v>
      </c>
      <c r="B9" s="5">
        <v>16893702.259999994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5550-9266-4A33-AAF7-215D441B3F59}">
  <dimension ref="A3:B16"/>
  <sheetViews>
    <sheetView workbookViewId="0">
      <selection activeCell="A9" sqref="A9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20.26953125" bestFit="1" customWidth="1"/>
  </cols>
  <sheetData>
    <row r="3" spans="1:2" x14ac:dyDescent="0.35">
      <c r="A3" s="3" t="s">
        <v>48</v>
      </c>
      <c r="B3" t="s">
        <v>50</v>
      </c>
    </row>
    <row r="4" spans="1:2" x14ac:dyDescent="0.35">
      <c r="A4" s="4">
        <v>1</v>
      </c>
      <c r="B4" s="5">
        <v>6607761.6799999997</v>
      </c>
    </row>
    <row r="5" spans="1:2" x14ac:dyDescent="0.35">
      <c r="A5" s="4">
        <v>2</v>
      </c>
      <c r="B5" s="5">
        <v>7297531.3900000006</v>
      </c>
    </row>
    <row r="6" spans="1:2" x14ac:dyDescent="0.35">
      <c r="A6" s="4">
        <v>3</v>
      </c>
      <c r="B6" s="5">
        <v>5586859.8699999992</v>
      </c>
    </row>
    <row r="7" spans="1:2" x14ac:dyDescent="0.35">
      <c r="A7" s="4">
        <v>4</v>
      </c>
      <c r="B7" s="5">
        <v>6964775.0700000003</v>
      </c>
    </row>
    <row r="8" spans="1:2" x14ac:dyDescent="0.35">
      <c r="A8" s="4">
        <v>5</v>
      </c>
      <c r="B8" s="5">
        <v>6210211.0600000005</v>
      </c>
    </row>
    <row r="9" spans="1:2" x14ac:dyDescent="0.35">
      <c r="A9" s="4">
        <v>6</v>
      </c>
      <c r="B9" s="5">
        <v>9518893.8199999966</v>
      </c>
    </row>
    <row r="10" spans="1:2" x14ac:dyDescent="0.35">
      <c r="A10" s="4">
        <v>7</v>
      </c>
      <c r="B10" s="5">
        <v>8102920.1800000016</v>
      </c>
    </row>
    <row r="11" spans="1:2" x14ac:dyDescent="0.35">
      <c r="A11" s="4">
        <v>8</v>
      </c>
      <c r="B11" s="5">
        <v>5864622.4199999999</v>
      </c>
    </row>
    <row r="12" spans="1:2" x14ac:dyDescent="0.35">
      <c r="A12" s="4">
        <v>9</v>
      </c>
      <c r="B12" s="5">
        <v>10882697.27</v>
      </c>
    </row>
    <row r="13" spans="1:2" x14ac:dyDescent="0.35">
      <c r="A13" s="4">
        <v>10</v>
      </c>
      <c r="B13" s="5">
        <v>21671431.019999996</v>
      </c>
    </row>
    <row r="14" spans="1:2" x14ac:dyDescent="0.35">
      <c r="A14" s="4">
        <v>11</v>
      </c>
      <c r="B14" s="5">
        <v>12651417.499999996</v>
      </c>
    </row>
    <row r="15" spans="1:2" x14ac:dyDescent="0.35">
      <c r="A15" s="4">
        <v>12</v>
      </c>
      <c r="B15" s="5">
        <v>17367228.979999997</v>
      </c>
    </row>
    <row r="16" spans="1:2" x14ac:dyDescent="0.35">
      <c r="A16" s="4" t="s">
        <v>49</v>
      </c>
      <c r="B16" s="5">
        <v>118726350.25999999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opLeftCell="E1" workbookViewId="0">
      <selection activeCell="G695" sqref="G695"/>
    </sheetView>
  </sheetViews>
  <sheetFormatPr defaultRowHeight="14.5" x14ac:dyDescent="0.35"/>
  <cols>
    <col min="1" max="1" width="15.1796875" bestFit="1" customWidth="1"/>
    <col min="2" max="2" width="21.54296875" bestFit="1" customWidth="1"/>
    <col min="4" max="4" width="13" bestFit="1" customWidth="1"/>
    <col min="5" max="5" width="9.1796875" bestFit="1" customWidth="1"/>
    <col min="6" max="6" width="17.90625" bestFit="1" customWidth="1"/>
    <col min="8" max="8" width="10.1796875" bestFit="1" customWidth="1"/>
    <col min="9" max="9" width="9.81640625" bestFit="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17.81640625" bestFit="1" customWidth="1"/>
    <col min="14" max="14" width="13.90625" bestFit="1" customWidth="1"/>
    <col min="15" max="15" width="11.90625" bestFit="1" customWidth="1"/>
    <col min="16" max="16" width="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2">
        <v>41974</v>
      </c>
      <c r="N2">
        <v>12</v>
      </c>
      <c r="O2" t="s">
        <v>20</v>
      </c>
      <c r="P2">
        <v>2014</v>
      </c>
    </row>
    <row r="3" spans="1:16" x14ac:dyDescent="0.35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2">
        <v>41791</v>
      </c>
      <c r="N3">
        <v>6</v>
      </c>
      <c r="O3" t="s">
        <v>22</v>
      </c>
      <c r="P3">
        <v>2014</v>
      </c>
    </row>
    <row r="4" spans="1:16" x14ac:dyDescent="0.35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2">
        <v>41579</v>
      </c>
      <c r="N4">
        <v>11</v>
      </c>
      <c r="O4" t="s">
        <v>24</v>
      </c>
      <c r="P4">
        <v>2013</v>
      </c>
    </row>
    <row r="5" spans="1:16" x14ac:dyDescent="0.35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2">
        <v>41974</v>
      </c>
      <c r="N5">
        <v>12</v>
      </c>
      <c r="O5" t="s">
        <v>20</v>
      </c>
      <c r="P5">
        <v>2014</v>
      </c>
    </row>
    <row r="6" spans="1:16" x14ac:dyDescent="0.35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2">
        <v>41791</v>
      </c>
      <c r="N6">
        <v>6</v>
      </c>
      <c r="O6" t="s">
        <v>22</v>
      </c>
      <c r="P6">
        <v>2014</v>
      </c>
    </row>
    <row r="7" spans="1:16" x14ac:dyDescent="0.35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2">
        <v>41518</v>
      </c>
      <c r="N7">
        <v>9</v>
      </c>
      <c r="O7" t="s">
        <v>28</v>
      </c>
      <c r="P7">
        <v>2013</v>
      </c>
    </row>
    <row r="8" spans="1:16" x14ac:dyDescent="0.35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2">
        <v>41671</v>
      </c>
      <c r="N8">
        <v>2</v>
      </c>
      <c r="O8" t="s">
        <v>30</v>
      </c>
      <c r="P8">
        <v>2014</v>
      </c>
    </row>
    <row r="9" spans="1:16" x14ac:dyDescent="0.35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2">
        <v>41699</v>
      </c>
      <c r="N9">
        <v>3</v>
      </c>
      <c r="O9" t="s">
        <v>33</v>
      </c>
      <c r="P9">
        <v>2014</v>
      </c>
    </row>
    <row r="10" spans="1:16" x14ac:dyDescent="0.35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2">
        <v>41913</v>
      </c>
      <c r="N10">
        <v>10</v>
      </c>
      <c r="O10" t="s">
        <v>34</v>
      </c>
      <c r="P10">
        <v>2014</v>
      </c>
    </row>
    <row r="11" spans="1:16" x14ac:dyDescent="0.35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2">
        <v>41974</v>
      </c>
      <c r="N11">
        <v>12</v>
      </c>
      <c r="O11" t="s">
        <v>20</v>
      </c>
      <c r="P11">
        <v>2014</v>
      </c>
    </row>
    <row r="12" spans="1:16" x14ac:dyDescent="0.35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2">
        <v>41974</v>
      </c>
      <c r="N12">
        <v>12</v>
      </c>
      <c r="O12" t="s">
        <v>20</v>
      </c>
      <c r="P12">
        <v>2014</v>
      </c>
    </row>
    <row r="13" spans="1:16" x14ac:dyDescent="0.35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2">
        <v>41730</v>
      </c>
      <c r="N13">
        <v>4</v>
      </c>
      <c r="O13" t="s">
        <v>35</v>
      </c>
      <c r="P13">
        <v>2014</v>
      </c>
    </row>
    <row r="14" spans="1:16" x14ac:dyDescent="0.35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2">
        <v>41913</v>
      </c>
      <c r="N14">
        <v>10</v>
      </c>
      <c r="O14" t="s">
        <v>34</v>
      </c>
      <c r="P14">
        <v>2014</v>
      </c>
    </row>
    <row r="15" spans="1:16" x14ac:dyDescent="0.35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2">
        <v>41974</v>
      </c>
      <c r="N15">
        <v>12</v>
      </c>
      <c r="O15" t="s">
        <v>20</v>
      </c>
      <c r="P15">
        <v>2014</v>
      </c>
    </row>
    <row r="16" spans="1:16" x14ac:dyDescent="0.35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2">
        <v>41974</v>
      </c>
      <c r="N16">
        <v>12</v>
      </c>
      <c r="O16" t="s">
        <v>20</v>
      </c>
      <c r="P16">
        <v>2014</v>
      </c>
    </row>
    <row r="17" spans="1:16" x14ac:dyDescent="0.35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2">
        <v>41548</v>
      </c>
      <c r="N17">
        <v>10</v>
      </c>
      <c r="O17" t="s">
        <v>34</v>
      </c>
      <c r="P17">
        <v>2013</v>
      </c>
    </row>
    <row r="18" spans="1:16" x14ac:dyDescent="0.35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2">
        <v>41913</v>
      </c>
      <c r="N18">
        <v>10</v>
      </c>
      <c r="O18" t="s">
        <v>34</v>
      </c>
      <c r="P18">
        <v>2014</v>
      </c>
    </row>
    <row r="19" spans="1:16" x14ac:dyDescent="0.35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2">
        <v>41913</v>
      </c>
      <c r="N19">
        <v>10</v>
      </c>
      <c r="O19" t="s">
        <v>34</v>
      </c>
      <c r="P19">
        <v>2014</v>
      </c>
    </row>
    <row r="20" spans="1:16" x14ac:dyDescent="0.35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2">
        <v>41609</v>
      </c>
      <c r="N20">
        <v>12</v>
      </c>
      <c r="O20" t="s">
        <v>20</v>
      </c>
      <c r="P20">
        <v>2013</v>
      </c>
    </row>
    <row r="21" spans="1:16" x14ac:dyDescent="0.35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2">
        <v>41609</v>
      </c>
      <c r="N21">
        <v>12</v>
      </c>
      <c r="O21" t="s">
        <v>20</v>
      </c>
      <c r="P21">
        <v>2013</v>
      </c>
    </row>
    <row r="22" spans="1:16" x14ac:dyDescent="0.35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2">
        <v>41548</v>
      </c>
      <c r="N22">
        <v>10</v>
      </c>
      <c r="O22" t="s">
        <v>34</v>
      </c>
      <c r="P22">
        <v>2013</v>
      </c>
    </row>
    <row r="23" spans="1:16" x14ac:dyDescent="0.35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2">
        <v>41518</v>
      </c>
      <c r="N23">
        <v>9</v>
      </c>
      <c r="O23" t="s">
        <v>28</v>
      </c>
      <c r="P23">
        <v>2013</v>
      </c>
    </row>
    <row r="24" spans="1:16" x14ac:dyDescent="0.35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2">
        <v>41852</v>
      </c>
      <c r="N24">
        <v>8</v>
      </c>
      <c r="O24" t="s">
        <v>38</v>
      </c>
      <c r="P24">
        <v>2014</v>
      </c>
    </row>
    <row r="25" spans="1:16" x14ac:dyDescent="0.35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2">
        <v>41974</v>
      </c>
      <c r="N25">
        <v>12</v>
      </c>
      <c r="O25" t="s">
        <v>20</v>
      </c>
      <c r="P25">
        <v>2014</v>
      </c>
    </row>
    <row r="26" spans="1:16" x14ac:dyDescent="0.35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2">
        <v>41821</v>
      </c>
      <c r="N26">
        <v>7</v>
      </c>
      <c r="O26" t="s">
        <v>39</v>
      </c>
      <c r="P26">
        <v>2014</v>
      </c>
    </row>
    <row r="27" spans="1:16" x14ac:dyDescent="0.35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2">
        <v>41974</v>
      </c>
      <c r="N27">
        <v>12</v>
      </c>
      <c r="O27" t="s">
        <v>20</v>
      </c>
      <c r="P27">
        <v>2014</v>
      </c>
    </row>
    <row r="28" spans="1:16" x14ac:dyDescent="0.35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2">
        <v>41913</v>
      </c>
      <c r="N28">
        <v>10</v>
      </c>
      <c r="O28" t="s">
        <v>34</v>
      </c>
      <c r="P28">
        <v>2014</v>
      </c>
    </row>
    <row r="29" spans="1:16" x14ac:dyDescent="0.35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2">
        <v>41518</v>
      </c>
      <c r="N29">
        <v>9</v>
      </c>
      <c r="O29" t="s">
        <v>28</v>
      </c>
      <c r="P29">
        <v>2013</v>
      </c>
    </row>
    <row r="30" spans="1:16" x14ac:dyDescent="0.35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2">
        <v>41913</v>
      </c>
      <c r="N30">
        <v>10</v>
      </c>
      <c r="O30" t="s">
        <v>34</v>
      </c>
      <c r="P30">
        <v>2014</v>
      </c>
    </row>
    <row r="31" spans="1:16" x14ac:dyDescent="0.35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2">
        <v>41671</v>
      </c>
      <c r="N31">
        <v>2</v>
      </c>
      <c r="O31" t="s">
        <v>30</v>
      </c>
      <c r="P31">
        <v>2014</v>
      </c>
    </row>
    <row r="32" spans="1:16" x14ac:dyDescent="0.35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2">
        <v>41883</v>
      </c>
      <c r="N32">
        <v>9</v>
      </c>
      <c r="O32" t="s">
        <v>28</v>
      </c>
      <c r="P32">
        <v>2014</v>
      </c>
    </row>
    <row r="33" spans="1:16" x14ac:dyDescent="0.35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2">
        <v>41609</v>
      </c>
      <c r="N33">
        <v>12</v>
      </c>
      <c r="O33" t="s">
        <v>20</v>
      </c>
      <c r="P33">
        <v>2013</v>
      </c>
    </row>
    <row r="34" spans="1:16" x14ac:dyDescent="0.35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2">
        <v>41640</v>
      </c>
      <c r="N34">
        <v>1</v>
      </c>
      <c r="O34" t="s">
        <v>41</v>
      </c>
      <c r="P34">
        <v>2014</v>
      </c>
    </row>
    <row r="35" spans="1:16" x14ac:dyDescent="0.35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2">
        <v>41518</v>
      </c>
      <c r="N35">
        <v>9</v>
      </c>
      <c r="O35" t="s">
        <v>28</v>
      </c>
      <c r="P35">
        <v>2013</v>
      </c>
    </row>
    <row r="36" spans="1:16" x14ac:dyDescent="0.35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2">
        <v>41791</v>
      </c>
      <c r="N36">
        <v>6</v>
      </c>
      <c r="O36" t="s">
        <v>22</v>
      </c>
      <c r="P36">
        <v>2014</v>
      </c>
    </row>
    <row r="37" spans="1:16" x14ac:dyDescent="0.35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34</v>
      </c>
      <c r="P37">
        <v>2013</v>
      </c>
    </row>
    <row r="38" spans="1:16" x14ac:dyDescent="0.35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2">
        <v>41791</v>
      </c>
      <c r="N38">
        <v>6</v>
      </c>
      <c r="O38" t="s">
        <v>22</v>
      </c>
      <c r="P38">
        <v>2014</v>
      </c>
    </row>
    <row r="39" spans="1:16" x14ac:dyDescent="0.35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2">
        <v>41671</v>
      </c>
      <c r="N39">
        <v>2</v>
      </c>
      <c r="O39" t="s">
        <v>30</v>
      </c>
      <c r="P39">
        <v>2014</v>
      </c>
    </row>
    <row r="40" spans="1:16" x14ac:dyDescent="0.35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2">
        <v>41852</v>
      </c>
      <c r="N40">
        <v>8</v>
      </c>
      <c r="O40" t="s">
        <v>38</v>
      </c>
      <c r="P40">
        <v>2014</v>
      </c>
    </row>
    <row r="41" spans="1:16" x14ac:dyDescent="0.35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2">
        <v>41548</v>
      </c>
      <c r="N41">
        <v>10</v>
      </c>
      <c r="O41" t="s">
        <v>34</v>
      </c>
      <c r="P41">
        <v>2013</v>
      </c>
    </row>
    <row r="42" spans="1:16" x14ac:dyDescent="0.35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2">
        <v>41730</v>
      </c>
      <c r="N42">
        <v>4</v>
      </c>
      <c r="O42" t="s">
        <v>35</v>
      </c>
      <c r="P42">
        <v>2014</v>
      </c>
    </row>
    <row r="43" spans="1:16" x14ac:dyDescent="0.35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2">
        <v>41760</v>
      </c>
      <c r="N43">
        <v>5</v>
      </c>
      <c r="O43" t="s">
        <v>42</v>
      </c>
      <c r="P43">
        <v>2014</v>
      </c>
    </row>
    <row r="44" spans="1:16" x14ac:dyDescent="0.35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2">
        <v>41791</v>
      </c>
      <c r="N44">
        <v>6</v>
      </c>
      <c r="O44" t="s">
        <v>22</v>
      </c>
      <c r="P44">
        <v>2014</v>
      </c>
    </row>
    <row r="45" spans="1:16" x14ac:dyDescent="0.35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2">
        <v>41548</v>
      </c>
      <c r="N45">
        <v>10</v>
      </c>
      <c r="O45" t="s">
        <v>34</v>
      </c>
      <c r="P45">
        <v>2013</v>
      </c>
    </row>
    <row r="46" spans="1:16" x14ac:dyDescent="0.35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2">
        <v>41791</v>
      </c>
      <c r="N46">
        <v>6</v>
      </c>
      <c r="O46" t="s">
        <v>22</v>
      </c>
      <c r="P46">
        <v>2014</v>
      </c>
    </row>
    <row r="47" spans="1:16" x14ac:dyDescent="0.35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2">
        <v>41548</v>
      </c>
      <c r="N47">
        <v>10</v>
      </c>
      <c r="O47" t="s">
        <v>34</v>
      </c>
      <c r="P47">
        <v>2013</v>
      </c>
    </row>
    <row r="48" spans="1:16" x14ac:dyDescent="0.35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2">
        <v>41883</v>
      </c>
      <c r="N48">
        <v>9</v>
      </c>
      <c r="O48" t="s">
        <v>28</v>
      </c>
      <c r="P48">
        <v>2014</v>
      </c>
    </row>
    <row r="49" spans="1:16" x14ac:dyDescent="0.35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2">
        <v>41548</v>
      </c>
      <c r="N49">
        <v>10</v>
      </c>
      <c r="O49" t="s">
        <v>34</v>
      </c>
      <c r="P49">
        <v>2013</v>
      </c>
    </row>
    <row r="50" spans="1:16" x14ac:dyDescent="0.35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2">
        <v>41548</v>
      </c>
      <c r="N50">
        <v>10</v>
      </c>
      <c r="O50" t="s">
        <v>34</v>
      </c>
      <c r="P50">
        <v>2013</v>
      </c>
    </row>
    <row r="51" spans="1:16" x14ac:dyDescent="0.35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2">
        <v>41699</v>
      </c>
      <c r="N51">
        <v>3</v>
      </c>
      <c r="O51" t="s">
        <v>33</v>
      </c>
      <c r="P51">
        <v>2014</v>
      </c>
    </row>
    <row r="52" spans="1:16" x14ac:dyDescent="0.35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2">
        <v>41883</v>
      </c>
      <c r="N52">
        <v>9</v>
      </c>
      <c r="O52" t="s">
        <v>28</v>
      </c>
      <c r="P52">
        <v>2014</v>
      </c>
    </row>
    <row r="53" spans="1:16" x14ac:dyDescent="0.35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2">
        <v>41974</v>
      </c>
      <c r="N53">
        <v>12</v>
      </c>
      <c r="O53" t="s">
        <v>20</v>
      </c>
      <c r="P53">
        <v>2014</v>
      </c>
    </row>
    <row r="54" spans="1:16" x14ac:dyDescent="0.35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2">
        <v>41579</v>
      </c>
      <c r="N54">
        <v>11</v>
      </c>
      <c r="O54" t="s">
        <v>24</v>
      </c>
      <c r="P54">
        <v>2013</v>
      </c>
    </row>
    <row r="55" spans="1:16" x14ac:dyDescent="0.35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2">
        <v>41974</v>
      </c>
      <c r="N55">
        <v>12</v>
      </c>
      <c r="O55" t="s">
        <v>20</v>
      </c>
      <c r="P55">
        <v>2014</v>
      </c>
    </row>
    <row r="56" spans="1:16" x14ac:dyDescent="0.35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2">
        <v>41730</v>
      </c>
      <c r="N56">
        <v>4</v>
      </c>
      <c r="O56" t="s">
        <v>35</v>
      </c>
      <c r="P56">
        <v>2014</v>
      </c>
    </row>
    <row r="57" spans="1:16" x14ac:dyDescent="0.35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2">
        <v>41852</v>
      </c>
      <c r="N57">
        <v>8</v>
      </c>
      <c r="O57" t="s">
        <v>38</v>
      </c>
      <c r="P57">
        <v>2014</v>
      </c>
    </row>
    <row r="58" spans="1:16" x14ac:dyDescent="0.35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2">
        <v>41852</v>
      </c>
      <c r="N58">
        <v>8</v>
      </c>
      <c r="O58" t="s">
        <v>38</v>
      </c>
      <c r="P58">
        <v>2014</v>
      </c>
    </row>
    <row r="59" spans="1:16" x14ac:dyDescent="0.35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2">
        <v>41760</v>
      </c>
      <c r="N59">
        <v>5</v>
      </c>
      <c r="O59" t="s">
        <v>42</v>
      </c>
      <c r="P59">
        <v>2014</v>
      </c>
    </row>
    <row r="60" spans="1:16" x14ac:dyDescent="0.35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2">
        <v>41640</v>
      </c>
      <c r="N60">
        <v>1</v>
      </c>
      <c r="O60" t="s">
        <v>41</v>
      </c>
      <c r="P60">
        <v>2014</v>
      </c>
    </row>
    <row r="61" spans="1:16" x14ac:dyDescent="0.35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2">
        <v>41821</v>
      </c>
      <c r="N61">
        <v>7</v>
      </c>
      <c r="O61" t="s">
        <v>39</v>
      </c>
      <c r="P61">
        <v>2014</v>
      </c>
    </row>
    <row r="62" spans="1:16" x14ac:dyDescent="0.35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2">
        <v>41913</v>
      </c>
      <c r="N62">
        <v>10</v>
      </c>
      <c r="O62" t="s">
        <v>34</v>
      </c>
      <c r="P62">
        <v>2014</v>
      </c>
    </row>
    <row r="63" spans="1:16" x14ac:dyDescent="0.35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2">
        <v>41730</v>
      </c>
      <c r="N63">
        <v>4</v>
      </c>
      <c r="O63" t="s">
        <v>35</v>
      </c>
      <c r="P63">
        <v>2014</v>
      </c>
    </row>
    <row r="64" spans="1:16" x14ac:dyDescent="0.35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2">
        <v>41883</v>
      </c>
      <c r="N64">
        <v>9</v>
      </c>
      <c r="O64" t="s">
        <v>28</v>
      </c>
      <c r="P64">
        <v>2014</v>
      </c>
    </row>
    <row r="65" spans="1:16" x14ac:dyDescent="0.35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2">
        <v>41913</v>
      </c>
      <c r="N65">
        <v>10</v>
      </c>
      <c r="O65" t="s">
        <v>34</v>
      </c>
      <c r="P65">
        <v>2014</v>
      </c>
    </row>
    <row r="66" spans="1:16" x14ac:dyDescent="0.35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2">
        <v>41760</v>
      </c>
      <c r="N66">
        <v>5</v>
      </c>
      <c r="O66" t="s">
        <v>42</v>
      </c>
      <c r="P66">
        <v>2014</v>
      </c>
    </row>
    <row r="67" spans="1:16" x14ac:dyDescent="0.35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2">
        <v>41821</v>
      </c>
      <c r="N67">
        <v>7</v>
      </c>
      <c r="O67" t="s">
        <v>39</v>
      </c>
      <c r="P67">
        <v>2014</v>
      </c>
    </row>
    <row r="68" spans="1:16" x14ac:dyDescent="0.35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2">
        <v>41852</v>
      </c>
      <c r="N68">
        <v>8</v>
      </c>
      <c r="O68" t="s">
        <v>38</v>
      </c>
      <c r="P68">
        <v>2014</v>
      </c>
    </row>
    <row r="69" spans="1:16" x14ac:dyDescent="0.35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2">
        <v>41609</v>
      </c>
      <c r="N69">
        <v>12</v>
      </c>
      <c r="O69" t="s">
        <v>20</v>
      </c>
      <c r="P69">
        <v>2013</v>
      </c>
    </row>
    <row r="70" spans="1:16" x14ac:dyDescent="0.35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2">
        <v>41671</v>
      </c>
      <c r="N70">
        <v>2</v>
      </c>
      <c r="O70" t="s">
        <v>30</v>
      </c>
      <c r="P70">
        <v>2014</v>
      </c>
    </row>
    <row r="71" spans="1:16" x14ac:dyDescent="0.35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2">
        <v>41883</v>
      </c>
      <c r="N71">
        <v>9</v>
      </c>
      <c r="O71" t="s">
        <v>28</v>
      </c>
      <c r="P71">
        <v>2014</v>
      </c>
    </row>
    <row r="72" spans="1:16" x14ac:dyDescent="0.35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2">
        <v>41699</v>
      </c>
      <c r="N72">
        <v>3</v>
      </c>
      <c r="O72" t="s">
        <v>33</v>
      </c>
      <c r="P72">
        <v>2014</v>
      </c>
    </row>
    <row r="73" spans="1:16" x14ac:dyDescent="0.35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2">
        <v>41640</v>
      </c>
      <c r="N73">
        <v>1</v>
      </c>
      <c r="O73" t="s">
        <v>41</v>
      </c>
      <c r="P73">
        <v>2014</v>
      </c>
    </row>
    <row r="74" spans="1:16" x14ac:dyDescent="0.35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2">
        <v>41821</v>
      </c>
      <c r="N74">
        <v>7</v>
      </c>
      <c r="O74" t="s">
        <v>39</v>
      </c>
      <c r="P74">
        <v>2014</v>
      </c>
    </row>
    <row r="75" spans="1:16" x14ac:dyDescent="0.35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2">
        <v>41548</v>
      </c>
      <c r="N75">
        <v>10</v>
      </c>
      <c r="O75" t="s">
        <v>34</v>
      </c>
      <c r="P75">
        <v>2013</v>
      </c>
    </row>
    <row r="76" spans="1:16" x14ac:dyDescent="0.35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2">
        <v>41548</v>
      </c>
      <c r="N76">
        <v>10</v>
      </c>
      <c r="O76" t="s">
        <v>34</v>
      </c>
      <c r="P76">
        <v>2013</v>
      </c>
    </row>
    <row r="77" spans="1:16" x14ac:dyDescent="0.35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2">
        <v>41791</v>
      </c>
      <c r="N77">
        <v>6</v>
      </c>
      <c r="O77" t="s">
        <v>22</v>
      </c>
      <c r="P77">
        <v>2014</v>
      </c>
    </row>
    <row r="78" spans="1:16" x14ac:dyDescent="0.35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2">
        <v>41791</v>
      </c>
      <c r="N78">
        <v>6</v>
      </c>
      <c r="O78" t="s">
        <v>22</v>
      </c>
      <c r="P78">
        <v>2014</v>
      </c>
    </row>
    <row r="79" spans="1:16" x14ac:dyDescent="0.35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2">
        <v>41944</v>
      </c>
      <c r="N79">
        <v>11</v>
      </c>
      <c r="O79" t="s">
        <v>24</v>
      </c>
      <c r="P79">
        <v>2014</v>
      </c>
    </row>
    <row r="80" spans="1:16" x14ac:dyDescent="0.35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2">
        <v>41944</v>
      </c>
      <c r="N80">
        <v>11</v>
      </c>
      <c r="O80" t="s">
        <v>24</v>
      </c>
      <c r="P80">
        <v>2014</v>
      </c>
    </row>
    <row r="81" spans="1:16" x14ac:dyDescent="0.35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2">
        <v>41821</v>
      </c>
      <c r="N81">
        <v>7</v>
      </c>
      <c r="O81" t="s">
        <v>39</v>
      </c>
      <c r="P81">
        <v>2014</v>
      </c>
    </row>
    <row r="82" spans="1:16" x14ac:dyDescent="0.35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2">
        <v>41913</v>
      </c>
      <c r="N82">
        <v>10</v>
      </c>
      <c r="O82" t="s">
        <v>34</v>
      </c>
      <c r="P82">
        <v>2014</v>
      </c>
    </row>
    <row r="83" spans="1:16" x14ac:dyDescent="0.35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2">
        <v>41518</v>
      </c>
      <c r="N83">
        <v>9</v>
      </c>
      <c r="O83" t="s">
        <v>28</v>
      </c>
      <c r="P83">
        <v>2013</v>
      </c>
    </row>
    <row r="84" spans="1:16" x14ac:dyDescent="0.35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2">
        <v>41913</v>
      </c>
      <c r="N84">
        <v>10</v>
      </c>
      <c r="O84" t="s">
        <v>34</v>
      </c>
      <c r="P84">
        <v>2014</v>
      </c>
    </row>
    <row r="85" spans="1:16" x14ac:dyDescent="0.35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2">
        <v>41671</v>
      </c>
      <c r="N85">
        <v>2</v>
      </c>
      <c r="O85" t="s">
        <v>30</v>
      </c>
      <c r="P85">
        <v>2014</v>
      </c>
    </row>
    <row r="86" spans="1:16" x14ac:dyDescent="0.35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2">
        <v>41699</v>
      </c>
      <c r="N86">
        <v>3</v>
      </c>
      <c r="O86" t="s">
        <v>33</v>
      </c>
      <c r="P86">
        <v>2014</v>
      </c>
    </row>
    <row r="87" spans="1:16" x14ac:dyDescent="0.35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2">
        <v>41699</v>
      </c>
      <c r="N87">
        <v>3</v>
      </c>
      <c r="O87" t="s">
        <v>33</v>
      </c>
      <c r="P87">
        <v>2014</v>
      </c>
    </row>
    <row r="88" spans="1:16" x14ac:dyDescent="0.35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2">
        <v>41640</v>
      </c>
      <c r="N88">
        <v>1</v>
      </c>
      <c r="O88" t="s">
        <v>41</v>
      </c>
      <c r="P88">
        <v>2014</v>
      </c>
    </row>
    <row r="89" spans="1:16" x14ac:dyDescent="0.35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2">
        <v>41791</v>
      </c>
      <c r="N89">
        <v>6</v>
      </c>
      <c r="O89" t="s">
        <v>22</v>
      </c>
      <c r="P89">
        <v>2014</v>
      </c>
    </row>
    <row r="90" spans="1:16" x14ac:dyDescent="0.35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2">
        <v>41944</v>
      </c>
      <c r="N90">
        <v>11</v>
      </c>
      <c r="O90" t="s">
        <v>24</v>
      </c>
      <c r="P90">
        <v>2014</v>
      </c>
    </row>
    <row r="91" spans="1:16" x14ac:dyDescent="0.35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2">
        <v>41791</v>
      </c>
      <c r="N91">
        <v>6</v>
      </c>
      <c r="O91" t="s">
        <v>22</v>
      </c>
      <c r="P91">
        <v>2014</v>
      </c>
    </row>
    <row r="92" spans="1:16" x14ac:dyDescent="0.35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2">
        <v>41640</v>
      </c>
      <c r="N92">
        <v>1</v>
      </c>
      <c r="O92" t="s">
        <v>41</v>
      </c>
      <c r="P92">
        <v>2014</v>
      </c>
    </row>
    <row r="93" spans="1:16" x14ac:dyDescent="0.35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2">
        <v>41730</v>
      </c>
      <c r="N93">
        <v>4</v>
      </c>
      <c r="O93" t="s">
        <v>35</v>
      </c>
      <c r="P93">
        <v>2014</v>
      </c>
    </row>
    <row r="94" spans="1:16" x14ac:dyDescent="0.35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2">
        <v>41760</v>
      </c>
      <c r="N94">
        <v>5</v>
      </c>
      <c r="O94" t="s">
        <v>42</v>
      </c>
      <c r="P94">
        <v>2014</v>
      </c>
    </row>
    <row r="95" spans="1:16" x14ac:dyDescent="0.35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2">
        <v>41944</v>
      </c>
      <c r="N95">
        <v>11</v>
      </c>
      <c r="O95" t="s">
        <v>24</v>
      </c>
      <c r="P95">
        <v>2014</v>
      </c>
    </row>
    <row r="96" spans="1:16" x14ac:dyDescent="0.35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2">
        <v>41944</v>
      </c>
      <c r="N96">
        <v>11</v>
      </c>
      <c r="O96" t="s">
        <v>24</v>
      </c>
      <c r="P96">
        <v>2014</v>
      </c>
    </row>
    <row r="97" spans="1:16" x14ac:dyDescent="0.35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2">
        <v>41579</v>
      </c>
      <c r="N97">
        <v>11</v>
      </c>
      <c r="O97" t="s">
        <v>24</v>
      </c>
      <c r="P97">
        <v>2013</v>
      </c>
    </row>
    <row r="98" spans="1:16" x14ac:dyDescent="0.35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2">
        <v>41609</v>
      </c>
      <c r="N98">
        <v>12</v>
      </c>
      <c r="O98" t="s">
        <v>20</v>
      </c>
      <c r="P98">
        <v>2013</v>
      </c>
    </row>
    <row r="99" spans="1:16" x14ac:dyDescent="0.35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2">
        <v>41760</v>
      </c>
      <c r="N99">
        <v>5</v>
      </c>
      <c r="O99" t="s">
        <v>42</v>
      </c>
      <c r="P99">
        <v>2014</v>
      </c>
    </row>
    <row r="100" spans="1:16" x14ac:dyDescent="0.35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2">
        <v>41579</v>
      </c>
      <c r="N100">
        <v>11</v>
      </c>
      <c r="O100" t="s">
        <v>24</v>
      </c>
      <c r="P100">
        <v>2013</v>
      </c>
    </row>
    <row r="101" spans="1:16" x14ac:dyDescent="0.35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2">
        <v>41579</v>
      </c>
      <c r="N101">
        <v>11</v>
      </c>
      <c r="O101" t="s">
        <v>24</v>
      </c>
      <c r="P101">
        <v>2013</v>
      </c>
    </row>
    <row r="102" spans="1:16" x14ac:dyDescent="0.35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2">
        <v>41640</v>
      </c>
      <c r="N102">
        <v>1</v>
      </c>
      <c r="O102" t="s">
        <v>41</v>
      </c>
      <c r="P102">
        <v>2014</v>
      </c>
    </row>
    <row r="103" spans="1:16" x14ac:dyDescent="0.35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2">
        <v>41640</v>
      </c>
      <c r="N103">
        <v>1</v>
      </c>
      <c r="O103" t="s">
        <v>41</v>
      </c>
      <c r="P103">
        <v>2014</v>
      </c>
    </row>
    <row r="104" spans="1:16" x14ac:dyDescent="0.35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2">
        <v>41791</v>
      </c>
      <c r="N104">
        <v>6</v>
      </c>
      <c r="O104" t="s">
        <v>22</v>
      </c>
      <c r="P104">
        <v>2014</v>
      </c>
    </row>
    <row r="105" spans="1:16" x14ac:dyDescent="0.35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2">
        <v>41671</v>
      </c>
      <c r="N105">
        <v>2</v>
      </c>
      <c r="O105" t="s">
        <v>30</v>
      </c>
      <c r="P105">
        <v>2014</v>
      </c>
    </row>
    <row r="106" spans="1:16" x14ac:dyDescent="0.35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2">
        <v>41974</v>
      </c>
      <c r="N106">
        <v>12</v>
      </c>
      <c r="O106" t="s">
        <v>20</v>
      </c>
      <c r="P106">
        <v>2014</v>
      </c>
    </row>
    <row r="107" spans="1:16" x14ac:dyDescent="0.35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2">
        <v>41974</v>
      </c>
      <c r="N107">
        <v>12</v>
      </c>
      <c r="O107" t="s">
        <v>20</v>
      </c>
      <c r="P107">
        <v>2014</v>
      </c>
    </row>
    <row r="108" spans="1:16" x14ac:dyDescent="0.35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2">
        <v>41791</v>
      </c>
      <c r="N108">
        <v>6</v>
      </c>
      <c r="O108" t="s">
        <v>22</v>
      </c>
      <c r="P108">
        <v>2014</v>
      </c>
    </row>
    <row r="109" spans="1:16" x14ac:dyDescent="0.35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2">
        <v>41821</v>
      </c>
      <c r="N109">
        <v>7</v>
      </c>
      <c r="O109" t="s">
        <v>39</v>
      </c>
      <c r="P109">
        <v>2014</v>
      </c>
    </row>
    <row r="110" spans="1:16" x14ac:dyDescent="0.35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2">
        <v>41730</v>
      </c>
      <c r="N110">
        <v>4</v>
      </c>
      <c r="O110" t="s">
        <v>35</v>
      </c>
      <c r="P110">
        <v>2014</v>
      </c>
    </row>
    <row r="111" spans="1:16" x14ac:dyDescent="0.35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2">
        <v>41913</v>
      </c>
      <c r="N111">
        <v>10</v>
      </c>
      <c r="O111" t="s">
        <v>34</v>
      </c>
      <c r="P111">
        <v>2014</v>
      </c>
    </row>
    <row r="112" spans="1:16" x14ac:dyDescent="0.35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2">
        <v>41913</v>
      </c>
      <c r="N112">
        <v>10</v>
      </c>
      <c r="O112" t="s">
        <v>34</v>
      </c>
      <c r="P112">
        <v>2014</v>
      </c>
    </row>
    <row r="113" spans="1:16" x14ac:dyDescent="0.35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2">
        <v>41609</v>
      </c>
      <c r="N113">
        <v>12</v>
      </c>
      <c r="O113" t="s">
        <v>20</v>
      </c>
      <c r="P113">
        <v>2013</v>
      </c>
    </row>
    <row r="114" spans="1:16" x14ac:dyDescent="0.35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2">
        <v>41944</v>
      </c>
      <c r="N114">
        <v>11</v>
      </c>
      <c r="O114" t="s">
        <v>24</v>
      </c>
      <c r="P114">
        <v>2014</v>
      </c>
    </row>
    <row r="115" spans="1:16" x14ac:dyDescent="0.35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2">
        <v>41944</v>
      </c>
      <c r="N115">
        <v>11</v>
      </c>
      <c r="O115" t="s">
        <v>24</v>
      </c>
      <c r="P115">
        <v>2014</v>
      </c>
    </row>
    <row r="116" spans="1:16" x14ac:dyDescent="0.35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2">
        <v>41730</v>
      </c>
      <c r="N116">
        <v>4</v>
      </c>
      <c r="O116" t="s">
        <v>35</v>
      </c>
      <c r="P116">
        <v>2014</v>
      </c>
    </row>
    <row r="117" spans="1:16" x14ac:dyDescent="0.35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2">
        <v>41760</v>
      </c>
      <c r="N117">
        <v>5</v>
      </c>
      <c r="O117" t="s">
        <v>42</v>
      </c>
      <c r="P117">
        <v>2014</v>
      </c>
    </row>
    <row r="118" spans="1:16" x14ac:dyDescent="0.35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2">
        <v>41730</v>
      </c>
      <c r="N118">
        <v>4</v>
      </c>
      <c r="O118" t="s">
        <v>35</v>
      </c>
      <c r="P118">
        <v>2014</v>
      </c>
    </row>
    <row r="119" spans="1:16" x14ac:dyDescent="0.35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2">
        <v>41518</v>
      </c>
      <c r="N119">
        <v>9</v>
      </c>
      <c r="O119" t="s">
        <v>28</v>
      </c>
      <c r="P119">
        <v>2013</v>
      </c>
    </row>
    <row r="120" spans="1:16" x14ac:dyDescent="0.35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2">
        <v>41883</v>
      </c>
      <c r="N120">
        <v>9</v>
      </c>
      <c r="O120" t="s">
        <v>28</v>
      </c>
      <c r="P120">
        <v>2014</v>
      </c>
    </row>
    <row r="121" spans="1:16" x14ac:dyDescent="0.35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2">
        <v>41883</v>
      </c>
      <c r="N121">
        <v>9</v>
      </c>
      <c r="O121" t="s">
        <v>28</v>
      </c>
      <c r="P121">
        <v>2014</v>
      </c>
    </row>
    <row r="122" spans="1:16" x14ac:dyDescent="0.35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2">
        <v>41518</v>
      </c>
      <c r="N122">
        <v>9</v>
      </c>
      <c r="O122" t="s">
        <v>28</v>
      </c>
      <c r="P122">
        <v>2013</v>
      </c>
    </row>
    <row r="123" spans="1:16" x14ac:dyDescent="0.35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2">
        <v>41760</v>
      </c>
      <c r="N123">
        <v>5</v>
      </c>
      <c r="O123" t="s">
        <v>42</v>
      </c>
      <c r="P123">
        <v>2014</v>
      </c>
    </row>
    <row r="124" spans="1:16" x14ac:dyDescent="0.35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2">
        <v>41671</v>
      </c>
      <c r="N124">
        <v>2</v>
      </c>
      <c r="O124" t="s">
        <v>30</v>
      </c>
      <c r="P124">
        <v>2014</v>
      </c>
    </row>
    <row r="125" spans="1:16" x14ac:dyDescent="0.35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2">
        <v>41548</v>
      </c>
      <c r="N125">
        <v>10</v>
      </c>
      <c r="O125" t="s">
        <v>34</v>
      </c>
      <c r="P125">
        <v>2013</v>
      </c>
    </row>
    <row r="126" spans="1:16" x14ac:dyDescent="0.35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2">
        <v>41609</v>
      </c>
      <c r="N126">
        <v>12</v>
      </c>
      <c r="O126" t="s">
        <v>20</v>
      </c>
      <c r="P126">
        <v>2013</v>
      </c>
    </row>
    <row r="127" spans="1:16" x14ac:dyDescent="0.35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2">
        <v>41974</v>
      </c>
      <c r="N127">
        <v>12</v>
      </c>
      <c r="O127" t="s">
        <v>20</v>
      </c>
      <c r="P127">
        <v>2014</v>
      </c>
    </row>
    <row r="128" spans="1:16" x14ac:dyDescent="0.35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2">
        <v>41852</v>
      </c>
      <c r="N128">
        <v>8</v>
      </c>
      <c r="O128" t="s">
        <v>38</v>
      </c>
      <c r="P128">
        <v>2014</v>
      </c>
    </row>
    <row r="129" spans="1:16" x14ac:dyDescent="0.35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2">
        <v>41852</v>
      </c>
      <c r="N129">
        <v>8</v>
      </c>
      <c r="O129" t="s">
        <v>38</v>
      </c>
      <c r="P129">
        <v>2014</v>
      </c>
    </row>
    <row r="130" spans="1:16" x14ac:dyDescent="0.35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2">
        <v>41609</v>
      </c>
      <c r="N130">
        <v>12</v>
      </c>
      <c r="O130" t="s">
        <v>20</v>
      </c>
      <c r="P130">
        <v>2013</v>
      </c>
    </row>
    <row r="131" spans="1:16" x14ac:dyDescent="0.35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2">
        <v>41548</v>
      </c>
      <c r="N131">
        <v>10</v>
      </c>
      <c r="O131" t="s">
        <v>34</v>
      </c>
      <c r="P131">
        <v>2013</v>
      </c>
    </row>
    <row r="132" spans="1:16" x14ac:dyDescent="0.35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2">
        <v>41579</v>
      </c>
      <c r="N132">
        <v>11</v>
      </c>
      <c r="O132" t="s">
        <v>24</v>
      </c>
      <c r="P132">
        <v>2013</v>
      </c>
    </row>
    <row r="133" spans="1:16" x14ac:dyDescent="0.35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2">
        <v>41579</v>
      </c>
      <c r="N133">
        <v>11</v>
      </c>
      <c r="O133" t="s">
        <v>24</v>
      </c>
      <c r="P133">
        <v>2013</v>
      </c>
    </row>
    <row r="134" spans="1:16" x14ac:dyDescent="0.35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2">
        <v>41974</v>
      </c>
      <c r="N134">
        <v>12</v>
      </c>
      <c r="O134" t="s">
        <v>20</v>
      </c>
      <c r="P134">
        <v>2014</v>
      </c>
    </row>
    <row r="135" spans="1:16" x14ac:dyDescent="0.35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2">
        <v>41640</v>
      </c>
      <c r="N135">
        <v>1</v>
      </c>
      <c r="O135" t="s">
        <v>41</v>
      </c>
      <c r="P135">
        <v>2014</v>
      </c>
    </row>
    <row r="136" spans="1:16" x14ac:dyDescent="0.35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2">
        <v>41579</v>
      </c>
      <c r="N136">
        <v>11</v>
      </c>
      <c r="O136" t="s">
        <v>24</v>
      </c>
      <c r="P136">
        <v>2013</v>
      </c>
    </row>
    <row r="137" spans="1:16" x14ac:dyDescent="0.35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2">
        <v>41548</v>
      </c>
      <c r="N137">
        <v>10</v>
      </c>
      <c r="O137" t="s">
        <v>34</v>
      </c>
      <c r="P137">
        <v>2013</v>
      </c>
    </row>
    <row r="138" spans="1:16" x14ac:dyDescent="0.35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2">
        <v>41548</v>
      </c>
      <c r="N138">
        <v>10</v>
      </c>
      <c r="O138" t="s">
        <v>34</v>
      </c>
      <c r="P138">
        <v>2013</v>
      </c>
    </row>
    <row r="139" spans="1:16" x14ac:dyDescent="0.35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2">
        <v>41852</v>
      </c>
      <c r="N139">
        <v>8</v>
      </c>
      <c r="O139" t="s">
        <v>38</v>
      </c>
      <c r="P139">
        <v>2014</v>
      </c>
    </row>
    <row r="140" spans="1:16" x14ac:dyDescent="0.35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2">
        <v>41518</v>
      </c>
      <c r="N140">
        <v>9</v>
      </c>
      <c r="O140" t="s">
        <v>28</v>
      </c>
      <c r="P140">
        <v>2013</v>
      </c>
    </row>
    <row r="141" spans="1:16" x14ac:dyDescent="0.35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2">
        <v>41913</v>
      </c>
      <c r="N141">
        <v>10</v>
      </c>
      <c r="O141" t="s">
        <v>34</v>
      </c>
      <c r="P141">
        <v>2014</v>
      </c>
    </row>
    <row r="142" spans="1:16" x14ac:dyDescent="0.35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2">
        <v>41883</v>
      </c>
      <c r="N142">
        <v>9</v>
      </c>
      <c r="O142" t="s">
        <v>28</v>
      </c>
      <c r="P142">
        <v>2014</v>
      </c>
    </row>
    <row r="143" spans="1:16" x14ac:dyDescent="0.35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2">
        <v>41852</v>
      </c>
      <c r="N143">
        <v>8</v>
      </c>
      <c r="O143" t="s">
        <v>38</v>
      </c>
      <c r="P143">
        <v>2014</v>
      </c>
    </row>
    <row r="144" spans="1:16" x14ac:dyDescent="0.35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2">
        <v>41913</v>
      </c>
      <c r="N144">
        <v>10</v>
      </c>
      <c r="O144" t="s">
        <v>34</v>
      </c>
      <c r="P144">
        <v>2014</v>
      </c>
    </row>
    <row r="145" spans="1:16" x14ac:dyDescent="0.35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2">
        <v>41609</v>
      </c>
      <c r="N145">
        <v>12</v>
      </c>
      <c r="O145" t="s">
        <v>20</v>
      </c>
      <c r="P145">
        <v>2013</v>
      </c>
    </row>
    <row r="146" spans="1:16" x14ac:dyDescent="0.35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2">
        <v>41609</v>
      </c>
      <c r="N146">
        <v>12</v>
      </c>
      <c r="O146" t="s">
        <v>20</v>
      </c>
      <c r="P146">
        <v>2013</v>
      </c>
    </row>
    <row r="147" spans="1:16" x14ac:dyDescent="0.35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2">
        <v>41944</v>
      </c>
      <c r="N147">
        <v>11</v>
      </c>
      <c r="O147" t="s">
        <v>24</v>
      </c>
      <c r="P147">
        <v>2014</v>
      </c>
    </row>
    <row r="148" spans="1:16" x14ac:dyDescent="0.35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2">
        <v>41791</v>
      </c>
      <c r="N148">
        <v>6</v>
      </c>
      <c r="O148" t="s">
        <v>22</v>
      </c>
      <c r="P148">
        <v>2014</v>
      </c>
    </row>
    <row r="149" spans="1:16" x14ac:dyDescent="0.35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2">
        <v>41791</v>
      </c>
      <c r="N149">
        <v>6</v>
      </c>
      <c r="O149" t="s">
        <v>22</v>
      </c>
      <c r="P149">
        <v>2014</v>
      </c>
    </row>
    <row r="150" spans="1:16" x14ac:dyDescent="0.35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2">
        <v>41791</v>
      </c>
      <c r="N150">
        <v>6</v>
      </c>
      <c r="O150" t="s">
        <v>22</v>
      </c>
      <c r="P150">
        <v>2014</v>
      </c>
    </row>
    <row r="151" spans="1:16" x14ac:dyDescent="0.35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2">
        <v>41821</v>
      </c>
      <c r="N151">
        <v>7</v>
      </c>
      <c r="O151" t="s">
        <v>39</v>
      </c>
      <c r="P151">
        <v>2014</v>
      </c>
    </row>
    <row r="152" spans="1:16" x14ac:dyDescent="0.35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2">
        <v>41791</v>
      </c>
      <c r="N152">
        <v>6</v>
      </c>
      <c r="O152" t="s">
        <v>22</v>
      </c>
      <c r="P152">
        <v>2014</v>
      </c>
    </row>
    <row r="153" spans="1:16" x14ac:dyDescent="0.35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2">
        <v>41883</v>
      </c>
      <c r="N153">
        <v>9</v>
      </c>
      <c r="O153" t="s">
        <v>28</v>
      </c>
      <c r="P153">
        <v>2014</v>
      </c>
    </row>
    <row r="154" spans="1:16" x14ac:dyDescent="0.35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2">
        <v>41883</v>
      </c>
      <c r="N154">
        <v>9</v>
      </c>
      <c r="O154" t="s">
        <v>28</v>
      </c>
      <c r="P154">
        <v>2014</v>
      </c>
    </row>
    <row r="155" spans="1:16" x14ac:dyDescent="0.35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2">
        <v>41791</v>
      </c>
      <c r="N155">
        <v>6</v>
      </c>
      <c r="O155" t="s">
        <v>22</v>
      </c>
      <c r="P155">
        <v>2014</v>
      </c>
    </row>
    <row r="156" spans="1:16" x14ac:dyDescent="0.35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2">
        <v>41791</v>
      </c>
      <c r="N156">
        <v>6</v>
      </c>
      <c r="O156" t="s">
        <v>22</v>
      </c>
      <c r="P156">
        <v>2014</v>
      </c>
    </row>
    <row r="157" spans="1:16" x14ac:dyDescent="0.35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2">
        <v>41944</v>
      </c>
      <c r="N157">
        <v>11</v>
      </c>
      <c r="O157" t="s">
        <v>24</v>
      </c>
      <c r="P157">
        <v>2014</v>
      </c>
    </row>
    <row r="158" spans="1:16" x14ac:dyDescent="0.35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2">
        <v>41821</v>
      </c>
      <c r="N158">
        <v>7</v>
      </c>
      <c r="O158" t="s">
        <v>39</v>
      </c>
      <c r="P158">
        <v>2014</v>
      </c>
    </row>
    <row r="159" spans="1:16" x14ac:dyDescent="0.35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2">
        <v>41944</v>
      </c>
      <c r="N159">
        <v>11</v>
      </c>
      <c r="O159" t="s">
        <v>24</v>
      </c>
      <c r="P159">
        <v>2014</v>
      </c>
    </row>
    <row r="160" spans="1:16" x14ac:dyDescent="0.35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2">
        <v>41760</v>
      </c>
      <c r="N160">
        <v>5</v>
      </c>
      <c r="O160" t="s">
        <v>42</v>
      </c>
      <c r="P160">
        <v>2014</v>
      </c>
    </row>
    <row r="161" spans="1:16" x14ac:dyDescent="0.35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2">
        <v>41699</v>
      </c>
      <c r="N161">
        <v>3</v>
      </c>
      <c r="O161" t="s">
        <v>33</v>
      </c>
      <c r="P161">
        <v>2014</v>
      </c>
    </row>
    <row r="162" spans="1:16" x14ac:dyDescent="0.35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2">
        <v>41791</v>
      </c>
      <c r="N162">
        <v>6</v>
      </c>
      <c r="O162" t="s">
        <v>22</v>
      </c>
      <c r="P162">
        <v>2014</v>
      </c>
    </row>
    <row r="163" spans="1:16" x14ac:dyDescent="0.35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2">
        <v>41579</v>
      </c>
      <c r="N163">
        <v>11</v>
      </c>
      <c r="O163" t="s">
        <v>24</v>
      </c>
      <c r="P163">
        <v>2013</v>
      </c>
    </row>
    <row r="164" spans="1:16" x14ac:dyDescent="0.35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2">
        <v>41791</v>
      </c>
      <c r="N164">
        <v>6</v>
      </c>
      <c r="O164" t="s">
        <v>22</v>
      </c>
      <c r="P164">
        <v>2014</v>
      </c>
    </row>
    <row r="165" spans="1:16" x14ac:dyDescent="0.35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2">
        <v>41699</v>
      </c>
      <c r="N165">
        <v>3</v>
      </c>
      <c r="O165" t="s">
        <v>33</v>
      </c>
      <c r="P165">
        <v>2014</v>
      </c>
    </row>
    <row r="166" spans="1:16" x14ac:dyDescent="0.35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2">
        <v>41913</v>
      </c>
      <c r="N166">
        <v>10</v>
      </c>
      <c r="O166" t="s">
        <v>34</v>
      </c>
      <c r="P166">
        <v>2014</v>
      </c>
    </row>
    <row r="167" spans="1:16" x14ac:dyDescent="0.35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2">
        <v>41913</v>
      </c>
      <c r="N167">
        <v>10</v>
      </c>
      <c r="O167" t="s">
        <v>34</v>
      </c>
      <c r="P167">
        <v>2014</v>
      </c>
    </row>
    <row r="168" spans="1:16" x14ac:dyDescent="0.35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2">
        <v>41760</v>
      </c>
      <c r="N168">
        <v>5</v>
      </c>
      <c r="O168" t="s">
        <v>42</v>
      </c>
      <c r="P168">
        <v>2014</v>
      </c>
    </row>
    <row r="169" spans="1:16" x14ac:dyDescent="0.35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2">
        <v>41548</v>
      </c>
      <c r="N169">
        <v>10</v>
      </c>
      <c r="O169" t="s">
        <v>34</v>
      </c>
      <c r="P169">
        <v>2013</v>
      </c>
    </row>
    <row r="170" spans="1:16" x14ac:dyDescent="0.35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2">
        <v>41699</v>
      </c>
      <c r="N170">
        <v>3</v>
      </c>
      <c r="O170" t="s">
        <v>33</v>
      </c>
      <c r="P170">
        <v>2014</v>
      </c>
    </row>
    <row r="171" spans="1:16" x14ac:dyDescent="0.35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2">
        <v>41852</v>
      </c>
      <c r="N171">
        <v>8</v>
      </c>
      <c r="O171" t="s">
        <v>38</v>
      </c>
      <c r="P171">
        <v>2014</v>
      </c>
    </row>
    <row r="172" spans="1:16" x14ac:dyDescent="0.35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2">
        <v>41548</v>
      </c>
      <c r="N172">
        <v>10</v>
      </c>
      <c r="O172" t="s">
        <v>34</v>
      </c>
      <c r="P172">
        <v>2013</v>
      </c>
    </row>
    <row r="173" spans="1:16" x14ac:dyDescent="0.35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2">
        <v>41518</v>
      </c>
      <c r="N173">
        <v>9</v>
      </c>
      <c r="O173" t="s">
        <v>28</v>
      </c>
      <c r="P173">
        <v>2013</v>
      </c>
    </row>
    <row r="174" spans="1:16" x14ac:dyDescent="0.35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2">
        <v>41579</v>
      </c>
      <c r="N174">
        <v>11</v>
      </c>
      <c r="O174" t="s">
        <v>24</v>
      </c>
      <c r="P174">
        <v>2013</v>
      </c>
    </row>
    <row r="175" spans="1:16" x14ac:dyDescent="0.35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2">
        <v>41640</v>
      </c>
      <c r="N175">
        <v>1</v>
      </c>
      <c r="O175" t="s">
        <v>41</v>
      </c>
      <c r="P175">
        <v>2014</v>
      </c>
    </row>
    <row r="176" spans="1:16" x14ac:dyDescent="0.35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2">
        <v>41548</v>
      </c>
      <c r="N176">
        <v>10</v>
      </c>
      <c r="O176" t="s">
        <v>34</v>
      </c>
      <c r="P176">
        <v>2013</v>
      </c>
    </row>
    <row r="177" spans="1:16" x14ac:dyDescent="0.35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2">
        <v>41913</v>
      </c>
      <c r="N177">
        <v>10</v>
      </c>
      <c r="O177" t="s">
        <v>34</v>
      </c>
      <c r="P177">
        <v>2014</v>
      </c>
    </row>
    <row r="178" spans="1:16" x14ac:dyDescent="0.35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2">
        <v>41548</v>
      </c>
      <c r="N178">
        <v>10</v>
      </c>
      <c r="O178" t="s">
        <v>34</v>
      </c>
      <c r="P178">
        <v>2013</v>
      </c>
    </row>
    <row r="179" spans="1:16" x14ac:dyDescent="0.35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2">
        <v>41974</v>
      </c>
      <c r="N179">
        <v>12</v>
      </c>
      <c r="O179" t="s">
        <v>20</v>
      </c>
      <c r="P179">
        <v>2014</v>
      </c>
    </row>
    <row r="180" spans="1:16" x14ac:dyDescent="0.35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2">
        <v>41913</v>
      </c>
      <c r="N180">
        <v>10</v>
      </c>
      <c r="O180" t="s">
        <v>34</v>
      </c>
      <c r="P180">
        <v>2014</v>
      </c>
    </row>
    <row r="181" spans="1:16" x14ac:dyDescent="0.35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2">
        <v>41974</v>
      </c>
      <c r="N181">
        <v>12</v>
      </c>
      <c r="O181" t="s">
        <v>20</v>
      </c>
      <c r="P181">
        <v>2014</v>
      </c>
    </row>
    <row r="182" spans="1:16" x14ac:dyDescent="0.35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2">
        <v>41640</v>
      </c>
      <c r="N182">
        <v>1</v>
      </c>
      <c r="O182" t="s">
        <v>41</v>
      </c>
      <c r="P182">
        <v>2014</v>
      </c>
    </row>
    <row r="183" spans="1:16" x14ac:dyDescent="0.35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2">
        <v>41974</v>
      </c>
      <c r="N183">
        <v>12</v>
      </c>
      <c r="O183" t="s">
        <v>20</v>
      </c>
      <c r="P183">
        <v>2014</v>
      </c>
    </row>
    <row r="184" spans="1:16" x14ac:dyDescent="0.35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2">
        <v>41974</v>
      </c>
      <c r="N184">
        <v>12</v>
      </c>
      <c r="O184" t="s">
        <v>20</v>
      </c>
      <c r="P184">
        <v>2014</v>
      </c>
    </row>
    <row r="185" spans="1:16" x14ac:dyDescent="0.35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2">
        <v>41518</v>
      </c>
      <c r="N185">
        <v>9</v>
      </c>
      <c r="O185" t="s">
        <v>28</v>
      </c>
      <c r="P185">
        <v>2013</v>
      </c>
    </row>
    <row r="186" spans="1:16" x14ac:dyDescent="0.35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2">
        <v>41821</v>
      </c>
      <c r="N186">
        <v>7</v>
      </c>
      <c r="O186" t="s">
        <v>39</v>
      </c>
      <c r="P186">
        <v>2014</v>
      </c>
    </row>
    <row r="187" spans="1:16" x14ac:dyDescent="0.35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2">
        <v>41913</v>
      </c>
      <c r="N187">
        <v>10</v>
      </c>
      <c r="O187" t="s">
        <v>34</v>
      </c>
      <c r="P187">
        <v>2014</v>
      </c>
    </row>
    <row r="188" spans="1:16" x14ac:dyDescent="0.35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2">
        <v>41671</v>
      </c>
      <c r="N188">
        <v>2</v>
      </c>
      <c r="O188" t="s">
        <v>30</v>
      </c>
      <c r="P188">
        <v>2014</v>
      </c>
    </row>
    <row r="189" spans="1:16" x14ac:dyDescent="0.35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2">
        <v>41671</v>
      </c>
      <c r="N189">
        <v>2</v>
      </c>
      <c r="O189" t="s">
        <v>30</v>
      </c>
      <c r="P189">
        <v>2014</v>
      </c>
    </row>
    <row r="190" spans="1:16" x14ac:dyDescent="0.35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2">
        <v>41913</v>
      </c>
      <c r="N190">
        <v>10</v>
      </c>
      <c r="O190" t="s">
        <v>34</v>
      </c>
      <c r="P190">
        <v>2014</v>
      </c>
    </row>
    <row r="191" spans="1:16" x14ac:dyDescent="0.35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2">
        <v>41730</v>
      </c>
      <c r="N191">
        <v>4</v>
      </c>
      <c r="O191" t="s">
        <v>35</v>
      </c>
      <c r="P191">
        <v>2014</v>
      </c>
    </row>
    <row r="192" spans="1:16" x14ac:dyDescent="0.35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2">
        <v>41760</v>
      </c>
      <c r="N192">
        <v>5</v>
      </c>
      <c r="O192" t="s">
        <v>42</v>
      </c>
      <c r="P192">
        <v>2014</v>
      </c>
    </row>
    <row r="193" spans="1:16" x14ac:dyDescent="0.35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2">
        <v>41699</v>
      </c>
      <c r="N193">
        <v>3</v>
      </c>
      <c r="O193" t="s">
        <v>33</v>
      </c>
      <c r="P193">
        <v>2014</v>
      </c>
    </row>
    <row r="194" spans="1:16" x14ac:dyDescent="0.35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2">
        <v>41671</v>
      </c>
      <c r="N194">
        <v>2</v>
      </c>
      <c r="O194" t="s">
        <v>30</v>
      </c>
      <c r="P194">
        <v>2014</v>
      </c>
    </row>
    <row r="195" spans="1:16" x14ac:dyDescent="0.35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2">
        <v>41730</v>
      </c>
      <c r="N195">
        <v>4</v>
      </c>
      <c r="O195" t="s">
        <v>35</v>
      </c>
      <c r="P195">
        <v>2014</v>
      </c>
    </row>
    <row r="196" spans="1:16" x14ac:dyDescent="0.35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2">
        <v>41699</v>
      </c>
      <c r="N196">
        <v>3</v>
      </c>
      <c r="O196" t="s">
        <v>33</v>
      </c>
      <c r="P196">
        <v>2014</v>
      </c>
    </row>
    <row r="197" spans="1:16" x14ac:dyDescent="0.35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2">
        <v>41548</v>
      </c>
      <c r="N197">
        <v>10</v>
      </c>
      <c r="O197" t="s">
        <v>34</v>
      </c>
      <c r="P197">
        <v>2013</v>
      </c>
    </row>
    <row r="198" spans="1:16" x14ac:dyDescent="0.35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2">
        <v>41974</v>
      </c>
      <c r="N198">
        <v>12</v>
      </c>
      <c r="O198" t="s">
        <v>20</v>
      </c>
      <c r="P198">
        <v>2014</v>
      </c>
    </row>
    <row r="199" spans="1:16" x14ac:dyDescent="0.35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2">
        <v>41821</v>
      </c>
      <c r="N199">
        <v>7</v>
      </c>
      <c r="O199" t="s">
        <v>39</v>
      </c>
      <c r="P199">
        <v>2014</v>
      </c>
    </row>
    <row r="200" spans="1:16" x14ac:dyDescent="0.35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2">
        <v>41548</v>
      </c>
      <c r="N200">
        <v>10</v>
      </c>
      <c r="O200" t="s">
        <v>34</v>
      </c>
      <c r="P200">
        <v>2013</v>
      </c>
    </row>
    <row r="201" spans="1:16" x14ac:dyDescent="0.35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2">
        <v>41974</v>
      </c>
      <c r="N201">
        <v>12</v>
      </c>
      <c r="O201" t="s">
        <v>20</v>
      </c>
      <c r="P201">
        <v>2014</v>
      </c>
    </row>
    <row r="202" spans="1:16" x14ac:dyDescent="0.35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2">
        <v>41883</v>
      </c>
      <c r="N202">
        <v>9</v>
      </c>
      <c r="O202" t="s">
        <v>28</v>
      </c>
      <c r="P202">
        <v>2014</v>
      </c>
    </row>
    <row r="203" spans="1:16" x14ac:dyDescent="0.35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2">
        <v>41852</v>
      </c>
      <c r="N203">
        <v>8</v>
      </c>
      <c r="O203" t="s">
        <v>38</v>
      </c>
      <c r="P203">
        <v>2014</v>
      </c>
    </row>
    <row r="204" spans="1:16" x14ac:dyDescent="0.35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2">
        <v>41913</v>
      </c>
      <c r="N204">
        <v>10</v>
      </c>
      <c r="O204" t="s">
        <v>34</v>
      </c>
      <c r="P204">
        <v>2014</v>
      </c>
    </row>
    <row r="205" spans="1:16" x14ac:dyDescent="0.35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2">
        <v>41640</v>
      </c>
      <c r="N205">
        <v>1</v>
      </c>
      <c r="O205" t="s">
        <v>41</v>
      </c>
      <c r="P205">
        <v>2014</v>
      </c>
    </row>
    <row r="206" spans="1:16" x14ac:dyDescent="0.35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2">
        <v>41821</v>
      </c>
      <c r="N206">
        <v>7</v>
      </c>
      <c r="O206" t="s">
        <v>39</v>
      </c>
      <c r="P206">
        <v>2014</v>
      </c>
    </row>
    <row r="207" spans="1:16" x14ac:dyDescent="0.35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2">
        <v>41913</v>
      </c>
      <c r="N207">
        <v>10</v>
      </c>
      <c r="O207" t="s">
        <v>34</v>
      </c>
      <c r="P207">
        <v>2014</v>
      </c>
    </row>
    <row r="208" spans="1:16" x14ac:dyDescent="0.35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2">
        <v>41640</v>
      </c>
      <c r="N208">
        <v>1</v>
      </c>
      <c r="O208" t="s">
        <v>41</v>
      </c>
      <c r="P208">
        <v>2014</v>
      </c>
    </row>
    <row r="209" spans="1:16" x14ac:dyDescent="0.35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2">
        <v>41760</v>
      </c>
      <c r="N209">
        <v>5</v>
      </c>
      <c r="O209" t="s">
        <v>42</v>
      </c>
      <c r="P209">
        <v>2014</v>
      </c>
    </row>
    <row r="210" spans="1:16" x14ac:dyDescent="0.35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2">
        <v>41944</v>
      </c>
      <c r="N210">
        <v>11</v>
      </c>
      <c r="O210" t="s">
        <v>24</v>
      </c>
      <c r="P210">
        <v>2014</v>
      </c>
    </row>
    <row r="211" spans="1:16" x14ac:dyDescent="0.35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2">
        <v>41699</v>
      </c>
      <c r="N211">
        <v>3</v>
      </c>
      <c r="O211" t="s">
        <v>33</v>
      </c>
      <c r="P211">
        <v>2014</v>
      </c>
    </row>
    <row r="212" spans="1:16" x14ac:dyDescent="0.35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2">
        <v>41821</v>
      </c>
      <c r="N212">
        <v>7</v>
      </c>
      <c r="O212" t="s">
        <v>39</v>
      </c>
      <c r="P212">
        <v>2014</v>
      </c>
    </row>
    <row r="213" spans="1:16" x14ac:dyDescent="0.35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2">
        <v>41852</v>
      </c>
      <c r="N213">
        <v>8</v>
      </c>
      <c r="O213" t="s">
        <v>38</v>
      </c>
      <c r="P213">
        <v>2014</v>
      </c>
    </row>
    <row r="214" spans="1:16" x14ac:dyDescent="0.35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2">
        <v>41730</v>
      </c>
      <c r="N214">
        <v>4</v>
      </c>
      <c r="O214" t="s">
        <v>35</v>
      </c>
      <c r="P214">
        <v>2014</v>
      </c>
    </row>
    <row r="215" spans="1:16" x14ac:dyDescent="0.35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2">
        <v>41760</v>
      </c>
      <c r="N215">
        <v>5</v>
      </c>
      <c r="O215" t="s">
        <v>42</v>
      </c>
      <c r="P215">
        <v>2014</v>
      </c>
    </row>
    <row r="216" spans="1:16" x14ac:dyDescent="0.35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2">
        <v>41579</v>
      </c>
      <c r="N216">
        <v>11</v>
      </c>
      <c r="O216" t="s">
        <v>24</v>
      </c>
      <c r="P216">
        <v>2013</v>
      </c>
    </row>
    <row r="217" spans="1:16" x14ac:dyDescent="0.35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2">
        <v>41699</v>
      </c>
      <c r="N217">
        <v>3</v>
      </c>
      <c r="O217" t="s">
        <v>33</v>
      </c>
      <c r="P217">
        <v>2014</v>
      </c>
    </row>
    <row r="218" spans="1:16" x14ac:dyDescent="0.35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2">
        <v>41579</v>
      </c>
      <c r="N218">
        <v>11</v>
      </c>
      <c r="O218" t="s">
        <v>24</v>
      </c>
      <c r="P218">
        <v>2013</v>
      </c>
    </row>
    <row r="219" spans="1:16" x14ac:dyDescent="0.35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2">
        <v>41609</v>
      </c>
      <c r="N219">
        <v>12</v>
      </c>
      <c r="O219" t="s">
        <v>20</v>
      </c>
      <c r="P219">
        <v>2013</v>
      </c>
    </row>
    <row r="220" spans="1:16" x14ac:dyDescent="0.35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2">
        <v>41671</v>
      </c>
      <c r="N220">
        <v>2</v>
      </c>
      <c r="O220" t="s">
        <v>30</v>
      </c>
      <c r="P220">
        <v>2014</v>
      </c>
    </row>
    <row r="221" spans="1:16" x14ac:dyDescent="0.35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2">
        <v>41883</v>
      </c>
      <c r="N221">
        <v>9</v>
      </c>
      <c r="O221" t="s">
        <v>28</v>
      </c>
      <c r="P221">
        <v>2014</v>
      </c>
    </row>
    <row r="222" spans="1:16" x14ac:dyDescent="0.35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2">
        <v>41518</v>
      </c>
      <c r="N222">
        <v>9</v>
      </c>
      <c r="O222" t="s">
        <v>28</v>
      </c>
      <c r="P222">
        <v>2013</v>
      </c>
    </row>
    <row r="223" spans="1:16" x14ac:dyDescent="0.35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2">
        <v>41548</v>
      </c>
      <c r="N223">
        <v>10</v>
      </c>
      <c r="O223" t="s">
        <v>34</v>
      </c>
      <c r="P223">
        <v>2013</v>
      </c>
    </row>
    <row r="224" spans="1:16" x14ac:dyDescent="0.35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2">
        <v>41548</v>
      </c>
      <c r="N224">
        <v>10</v>
      </c>
      <c r="O224" t="s">
        <v>34</v>
      </c>
      <c r="P224">
        <v>2013</v>
      </c>
    </row>
    <row r="225" spans="1:16" x14ac:dyDescent="0.35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2">
        <v>41640</v>
      </c>
      <c r="N225">
        <v>1</v>
      </c>
      <c r="O225" t="s">
        <v>41</v>
      </c>
      <c r="P225">
        <v>2014</v>
      </c>
    </row>
    <row r="226" spans="1:16" x14ac:dyDescent="0.35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2">
        <v>41548</v>
      </c>
      <c r="N226">
        <v>10</v>
      </c>
      <c r="O226" t="s">
        <v>34</v>
      </c>
      <c r="P226">
        <v>2013</v>
      </c>
    </row>
    <row r="227" spans="1:16" x14ac:dyDescent="0.35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2">
        <v>41640</v>
      </c>
      <c r="N227">
        <v>1</v>
      </c>
      <c r="O227" t="s">
        <v>41</v>
      </c>
      <c r="P227">
        <v>2014</v>
      </c>
    </row>
    <row r="228" spans="1:16" x14ac:dyDescent="0.35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2">
        <v>41518</v>
      </c>
      <c r="N228">
        <v>9</v>
      </c>
      <c r="O228" t="s">
        <v>28</v>
      </c>
      <c r="P228">
        <v>2013</v>
      </c>
    </row>
    <row r="229" spans="1:16" x14ac:dyDescent="0.35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2">
        <v>41913</v>
      </c>
      <c r="N229">
        <v>10</v>
      </c>
      <c r="O229" t="s">
        <v>34</v>
      </c>
      <c r="P229">
        <v>2014</v>
      </c>
    </row>
    <row r="230" spans="1:16" x14ac:dyDescent="0.35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2">
        <v>41913</v>
      </c>
      <c r="N230">
        <v>10</v>
      </c>
      <c r="O230" t="s">
        <v>34</v>
      </c>
      <c r="P230">
        <v>2014</v>
      </c>
    </row>
    <row r="231" spans="1:16" x14ac:dyDescent="0.35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2">
        <v>41821</v>
      </c>
      <c r="N231">
        <v>7</v>
      </c>
      <c r="O231" t="s">
        <v>39</v>
      </c>
      <c r="P231">
        <v>2014</v>
      </c>
    </row>
    <row r="232" spans="1:16" x14ac:dyDescent="0.35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2">
        <v>41548</v>
      </c>
      <c r="N232">
        <v>10</v>
      </c>
      <c r="O232" t="s">
        <v>34</v>
      </c>
      <c r="P232">
        <v>2013</v>
      </c>
    </row>
    <row r="233" spans="1:16" x14ac:dyDescent="0.35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2">
        <v>41579</v>
      </c>
      <c r="N233">
        <v>11</v>
      </c>
      <c r="O233" t="s">
        <v>24</v>
      </c>
      <c r="P233">
        <v>2013</v>
      </c>
    </row>
    <row r="234" spans="1:16" x14ac:dyDescent="0.35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2">
        <v>41974</v>
      </c>
      <c r="N234">
        <v>12</v>
      </c>
      <c r="O234" t="s">
        <v>20</v>
      </c>
      <c r="P234">
        <v>2014</v>
      </c>
    </row>
    <row r="235" spans="1:16" x14ac:dyDescent="0.35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2">
        <v>41974</v>
      </c>
      <c r="N235">
        <v>12</v>
      </c>
      <c r="O235" t="s">
        <v>20</v>
      </c>
      <c r="P235">
        <v>2014</v>
      </c>
    </row>
    <row r="236" spans="1:16" x14ac:dyDescent="0.35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2">
        <v>41760</v>
      </c>
      <c r="N236">
        <v>5</v>
      </c>
      <c r="O236" t="s">
        <v>42</v>
      </c>
      <c r="P236">
        <v>2014</v>
      </c>
    </row>
    <row r="237" spans="1:16" x14ac:dyDescent="0.35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2">
        <v>41609</v>
      </c>
      <c r="N237">
        <v>12</v>
      </c>
      <c r="O237" t="s">
        <v>20</v>
      </c>
      <c r="P237">
        <v>2013</v>
      </c>
    </row>
    <row r="238" spans="1:16" x14ac:dyDescent="0.35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2">
        <v>41974</v>
      </c>
      <c r="N238">
        <v>12</v>
      </c>
      <c r="O238" t="s">
        <v>20</v>
      </c>
      <c r="P238">
        <v>2014</v>
      </c>
    </row>
    <row r="239" spans="1:16" x14ac:dyDescent="0.35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2">
        <v>41974</v>
      </c>
      <c r="N239">
        <v>12</v>
      </c>
      <c r="O239" t="s">
        <v>20</v>
      </c>
      <c r="P239">
        <v>2014</v>
      </c>
    </row>
    <row r="240" spans="1:16" x14ac:dyDescent="0.35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2">
        <v>41579</v>
      </c>
      <c r="N240">
        <v>11</v>
      </c>
      <c r="O240" t="s">
        <v>24</v>
      </c>
      <c r="P240">
        <v>2013</v>
      </c>
    </row>
    <row r="241" spans="1:16" x14ac:dyDescent="0.35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2">
        <v>41548</v>
      </c>
      <c r="N241">
        <v>10</v>
      </c>
      <c r="O241" t="s">
        <v>34</v>
      </c>
      <c r="P241">
        <v>2013</v>
      </c>
    </row>
    <row r="242" spans="1:16" x14ac:dyDescent="0.35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2">
        <v>41791</v>
      </c>
      <c r="N242">
        <v>6</v>
      </c>
      <c r="O242" t="s">
        <v>22</v>
      </c>
      <c r="P242">
        <v>2014</v>
      </c>
    </row>
    <row r="243" spans="1:16" x14ac:dyDescent="0.35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2">
        <v>41791</v>
      </c>
      <c r="N243">
        <v>6</v>
      </c>
      <c r="O243" t="s">
        <v>22</v>
      </c>
      <c r="P243">
        <v>2014</v>
      </c>
    </row>
    <row r="244" spans="1:16" x14ac:dyDescent="0.35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2">
        <v>41548</v>
      </c>
      <c r="N244">
        <v>10</v>
      </c>
      <c r="O244" t="s">
        <v>34</v>
      </c>
      <c r="P244">
        <v>2013</v>
      </c>
    </row>
    <row r="245" spans="1:16" x14ac:dyDescent="0.35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2">
        <v>41944</v>
      </c>
      <c r="N245">
        <v>11</v>
      </c>
      <c r="O245" t="s">
        <v>24</v>
      </c>
      <c r="P245">
        <v>2014</v>
      </c>
    </row>
    <row r="246" spans="1:16" x14ac:dyDescent="0.35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2">
        <v>41518</v>
      </c>
      <c r="N246">
        <v>9</v>
      </c>
      <c r="O246" t="s">
        <v>28</v>
      </c>
      <c r="P246">
        <v>2013</v>
      </c>
    </row>
    <row r="247" spans="1:16" x14ac:dyDescent="0.35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2">
        <v>41791</v>
      </c>
      <c r="N247">
        <v>6</v>
      </c>
      <c r="O247" t="s">
        <v>22</v>
      </c>
      <c r="P247">
        <v>2014</v>
      </c>
    </row>
    <row r="248" spans="1:16" x14ac:dyDescent="0.35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2">
        <v>41944</v>
      </c>
      <c r="N248">
        <v>11</v>
      </c>
      <c r="O248" t="s">
        <v>24</v>
      </c>
      <c r="P248">
        <v>2014</v>
      </c>
    </row>
    <row r="249" spans="1:16" x14ac:dyDescent="0.35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2">
        <v>41974</v>
      </c>
      <c r="N249">
        <v>12</v>
      </c>
      <c r="O249" t="s">
        <v>20</v>
      </c>
      <c r="P249">
        <v>2014</v>
      </c>
    </row>
    <row r="250" spans="1:16" x14ac:dyDescent="0.35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2">
        <v>41974</v>
      </c>
      <c r="N250">
        <v>12</v>
      </c>
      <c r="O250" t="s">
        <v>20</v>
      </c>
      <c r="P250">
        <v>2014</v>
      </c>
    </row>
    <row r="251" spans="1:16" x14ac:dyDescent="0.35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2">
        <v>41791</v>
      </c>
      <c r="N251">
        <v>6</v>
      </c>
      <c r="O251" t="s">
        <v>22</v>
      </c>
      <c r="P251">
        <v>2014</v>
      </c>
    </row>
    <row r="252" spans="1:16" x14ac:dyDescent="0.35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2">
        <v>41609</v>
      </c>
      <c r="N252">
        <v>12</v>
      </c>
      <c r="O252" t="s">
        <v>20</v>
      </c>
      <c r="P252">
        <v>2013</v>
      </c>
    </row>
    <row r="253" spans="1:16" x14ac:dyDescent="0.35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2">
        <v>41671</v>
      </c>
      <c r="N253">
        <v>2</v>
      </c>
      <c r="O253" t="s">
        <v>30</v>
      </c>
      <c r="P253">
        <v>2014</v>
      </c>
    </row>
    <row r="254" spans="1:16" x14ac:dyDescent="0.35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2">
        <v>41760</v>
      </c>
      <c r="N254">
        <v>5</v>
      </c>
      <c r="O254" t="s">
        <v>42</v>
      </c>
      <c r="P254">
        <v>2014</v>
      </c>
    </row>
    <row r="255" spans="1:16" x14ac:dyDescent="0.35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2">
        <v>41730</v>
      </c>
      <c r="N255">
        <v>4</v>
      </c>
      <c r="O255" t="s">
        <v>35</v>
      </c>
      <c r="P255">
        <v>2014</v>
      </c>
    </row>
    <row r="256" spans="1:16" x14ac:dyDescent="0.35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2">
        <v>41760</v>
      </c>
      <c r="N256">
        <v>5</v>
      </c>
      <c r="O256" t="s">
        <v>42</v>
      </c>
      <c r="P256">
        <v>2014</v>
      </c>
    </row>
    <row r="257" spans="1:16" x14ac:dyDescent="0.35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2">
        <v>41852</v>
      </c>
      <c r="N257">
        <v>8</v>
      </c>
      <c r="O257" t="s">
        <v>38</v>
      </c>
      <c r="P257">
        <v>2014</v>
      </c>
    </row>
    <row r="258" spans="1:16" x14ac:dyDescent="0.35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2">
        <v>41852</v>
      </c>
      <c r="N258">
        <v>8</v>
      </c>
      <c r="O258" t="s">
        <v>38</v>
      </c>
      <c r="P258">
        <v>2014</v>
      </c>
    </row>
    <row r="259" spans="1:16" x14ac:dyDescent="0.35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2">
        <v>41518</v>
      </c>
      <c r="N259">
        <v>9</v>
      </c>
      <c r="O259" t="s">
        <v>28</v>
      </c>
      <c r="P259">
        <v>2013</v>
      </c>
    </row>
    <row r="260" spans="1:16" x14ac:dyDescent="0.35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2">
        <v>41609</v>
      </c>
      <c r="N260">
        <v>12</v>
      </c>
      <c r="O260" t="s">
        <v>20</v>
      </c>
      <c r="P260">
        <v>2013</v>
      </c>
    </row>
    <row r="261" spans="1:16" x14ac:dyDescent="0.35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2">
        <v>41791</v>
      </c>
      <c r="N261">
        <v>6</v>
      </c>
      <c r="O261" t="s">
        <v>22</v>
      </c>
      <c r="P261">
        <v>2014</v>
      </c>
    </row>
    <row r="262" spans="1:16" x14ac:dyDescent="0.35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2">
        <v>41791</v>
      </c>
      <c r="N262">
        <v>6</v>
      </c>
      <c r="O262" t="s">
        <v>22</v>
      </c>
      <c r="P262">
        <v>2014</v>
      </c>
    </row>
    <row r="263" spans="1:16" x14ac:dyDescent="0.35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2">
        <v>41791</v>
      </c>
      <c r="N263">
        <v>6</v>
      </c>
      <c r="O263" t="s">
        <v>22</v>
      </c>
      <c r="P263">
        <v>2014</v>
      </c>
    </row>
    <row r="264" spans="1:16" x14ac:dyDescent="0.35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2">
        <v>41791</v>
      </c>
      <c r="N264">
        <v>6</v>
      </c>
      <c r="O264" t="s">
        <v>22</v>
      </c>
      <c r="P264">
        <v>2014</v>
      </c>
    </row>
    <row r="265" spans="1:16" x14ac:dyDescent="0.35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2">
        <v>41609</v>
      </c>
      <c r="N265">
        <v>12</v>
      </c>
      <c r="O265" t="s">
        <v>20</v>
      </c>
      <c r="P265">
        <v>2013</v>
      </c>
    </row>
    <row r="266" spans="1:16" x14ac:dyDescent="0.35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2">
        <v>41821</v>
      </c>
      <c r="N266">
        <v>7</v>
      </c>
      <c r="O266" t="s">
        <v>39</v>
      </c>
      <c r="P266">
        <v>2014</v>
      </c>
    </row>
    <row r="267" spans="1:16" x14ac:dyDescent="0.35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2">
        <v>41974</v>
      </c>
      <c r="N267">
        <v>12</v>
      </c>
      <c r="O267" t="s">
        <v>20</v>
      </c>
      <c r="P267">
        <v>2014</v>
      </c>
    </row>
    <row r="268" spans="1:16" x14ac:dyDescent="0.35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2">
        <v>41913</v>
      </c>
      <c r="N268">
        <v>10</v>
      </c>
      <c r="O268" t="s">
        <v>34</v>
      </c>
      <c r="P268">
        <v>2014</v>
      </c>
    </row>
    <row r="269" spans="1:16" x14ac:dyDescent="0.35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2">
        <v>41913</v>
      </c>
      <c r="N269">
        <v>10</v>
      </c>
      <c r="O269" t="s">
        <v>34</v>
      </c>
      <c r="P269">
        <v>2014</v>
      </c>
    </row>
    <row r="270" spans="1:16" x14ac:dyDescent="0.35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2">
        <v>41974</v>
      </c>
      <c r="N270">
        <v>12</v>
      </c>
      <c r="O270" t="s">
        <v>20</v>
      </c>
      <c r="P270">
        <v>2014</v>
      </c>
    </row>
    <row r="271" spans="1:16" x14ac:dyDescent="0.35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2">
        <v>41883</v>
      </c>
      <c r="N271">
        <v>9</v>
      </c>
      <c r="O271" t="s">
        <v>28</v>
      </c>
      <c r="P271">
        <v>2014</v>
      </c>
    </row>
    <row r="272" spans="1:16" x14ac:dyDescent="0.35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2">
        <v>41944</v>
      </c>
      <c r="N272">
        <v>11</v>
      </c>
      <c r="O272" t="s">
        <v>24</v>
      </c>
      <c r="P272">
        <v>2014</v>
      </c>
    </row>
    <row r="273" spans="1:16" x14ac:dyDescent="0.35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2">
        <v>41730</v>
      </c>
      <c r="N273">
        <v>4</v>
      </c>
      <c r="O273" t="s">
        <v>35</v>
      </c>
      <c r="P273">
        <v>2014</v>
      </c>
    </row>
    <row r="274" spans="1:16" x14ac:dyDescent="0.35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2">
        <v>41699</v>
      </c>
      <c r="N274">
        <v>3</v>
      </c>
      <c r="O274" t="s">
        <v>33</v>
      </c>
      <c r="P274">
        <v>2014</v>
      </c>
    </row>
    <row r="275" spans="1:16" x14ac:dyDescent="0.35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2">
        <v>41579</v>
      </c>
      <c r="N275">
        <v>11</v>
      </c>
      <c r="O275" t="s">
        <v>24</v>
      </c>
      <c r="P275">
        <v>2013</v>
      </c>
    </row>
    <row r="276" spans="1:16" x14ac:dyDescent="0.35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2">
        <v>41944</v>
      </c>
      <c r="N276">
        <v>11</v>
      </c>
      <c r="O276" t="s">
        <v>24</v>
      </c>
      <c r="P276">
        <v>2014</v>
      </c>
    </row>
    <row r="277" spans="1:16" x14ac:dyDescent="0.35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2">
        <v>41518</v>
      </c>
      <c r="N277">
        <v>9</v>
      </c>
      <c r="O277" t="s">
        <v>28</v>
      </c>
      <c r="P277">
        <v>2013</v>
      </c>
    </row>
    <row r="278" spans="1:16" x14ac:dyDescent="0.35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2">
        <v>41883</v>
      </c>
      <c r="N278">
        <v>9</v>
      </c>
      <c r="O278" t="s">
        <v>28</v>
      </c>
      <c r="P278">
        <v>2014</v>
      </c>
    </row>
    <row r="279" spans="1:16" x14ac:dyDescent="0.35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2">
        <v>41913</v>
      </c>
      <c r="N279">
        <v>10</v>
      </c>
      <c r="O279" t="s">
        <v>34</v>
      </c>
      <c r="P279">
        <v>2014</v>
      </c>
    </row>
    <row r="280" spans="1:16" x14ac:dyDescent="0.35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2">
        <v>41821</v>
      </c>
      <c r="N280">
        <v>7</v>
      </c>
      <c r="O280" t="s">
        <v>39</v>
      </c>
      <c r="P280">
        <v>2014</v>
      </c>
    </row>
    <row r="281" spans="1:16" x14ac:dyDescent="0.35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2">
        <v>41913</v>
      </c>
      <c r="N281">
        <v>10</v>
      </c>
      <c r="O281" t="s">
        <v>34</v>
      </c>
      <c r="P281">
        <v>2014</v>
      </c>
    </row>
    <row r="282" spans="1:16" x14ac:dyDescent="0.35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2">
        <v>41699</v>
      </c>
      <c r="N282">
        <v>3</v>
      </c>
      <c r="O282" t="s">
        <v>33</v>
      </c>
      <c r="P282">
        <v>2014</v>
      </c>
    </row>
    <row r="283" spans="1:16" x14ac:dyDescent="0.35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2">
        <v>41671</v>
      </c>
      <c r="N283">
        <v>2</v>
      </c>
      <c r="O283" t="s">
        <v>30</v>
      </c>
      <c r="P283">
        <v>2014</v>
      </c>
    </row>
    <row r="284" spans="1:16" x14ac:dyDescent="0.35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2">
        <v>41640</v>
      </c>
      <c r="N284">
        <v>1</v>
      </c>
      <c r="O284" t="s">
        <v>41</v>
      </c>
      <c r="P284">
        <v>2014</v>
      </c>
    </row>
    <row r="285" spans="1:16" x14ac:dyDescent="0.35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2">
        <v>41852</v>
      </c>
      <c r="N285">
        <v>8</v>
      </c>
      <c r="O285" t="s">
        <v>38</v>
      </c>
      <c r="P285">
        <v>2014</v>
      </c>
    </row>
    <row r="286" spans="1:16" x14ac:dyDescent="0.35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2">
        <v>41791</v>
      </c>
      <c r="N286">
        <v>6</v>
      </c>
      <c r="O286" t="s">
        <v>22</v>
      </c>
      <c r="P286">
        <v>2014</v>
      </c>
    </row>
    <row r="287" spans="1:16" x14ac:dyDescent="0.35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2">
        <v>41791</v>
      </c>
      <c r="N287">
        <v>6</v>
      </c>
      <c r="O287" t="s">
        <v>22</v>
      </c>
      <c r="P287">
        <v>2014</v>
      </c>
    </row>
    <row r="288" spans="1:16" x14ac:dyDescent="0.35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2">
        <v>41548</v>
      </c>
      <c r="N288">
        <v>10</v>
      </c>
      <c r="O288" t="s">
        <v>34</v>
      </c>
      <c r="P288">
        <v>2013</v>
      </c>
    </row>
    <row r="289" spans="1:16" x14ac:dyDescent="0.35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2">
        <v>41974</v>
      </c>
      <c r="N289">
        <v>12</v>
      </c>
      <c r="O289" t="s">
        <v>20</v>
      </c>
      <c r="P289">
        <v>2014</v>
      </c>
    </row>
    <row r="290" spans="1:16" x14ac:dyDescent="0.35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2">
        <v>41671</v>
      </c>
      <c r="N290">
        <v>2</v>
      </c>
      <c r="O290" t="s">
        <v>30</v>
      </c>
      <c r="P290">
        <v>2014</v>
      </c>
    </row>
    <row r="291" spans="1:16" x14ac:dyDescent="0.35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2">
        <v>41548</v>
      </c>
      <c r="N291">
        <v>10</v>
      </c>
      <c r="O291" t="s">
        <v>34</v>
      </c>
      <c r="P291">
        <v>2013</v>
      </c>
    </row>
    <row r="292" spans="1:16" x14ac:dyDescent="0.35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2">
        <v>41974</v>
      </c>
      <c r="N292">
        <v>12</v>
      </c>
      <c r="O292" t="s">
        <v>20</v>
      </c>
      <c r="P292">
        <v>2014</v>
      </c>
    </row>
    <row r="293" spans="1:16" x14ac:dyDescent="0.35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2">
        <v>41883</v>
      </c>
      <c r="N293">
        <v>9</v>
      </c>
      <c r="O293" t="s">
        <v>28</v>
      </c>
      <c r="P293">
        <v>2014</v>
      </c>
    </row>
    <row r="294" spans="1:16" x14ac:dyDescent="0.35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2">
        <v>41548</v>
      </c>
      <c r="N294">
        <v>10</v>
      </c>
      <c r="O294" t="s">
        <v>34</v>
      </c>
      <c r="P294">
        <v>2013</v>
      </c>
    </row>
    <row r="295" spans="1:16" x14ac:dyDescent="0.35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2">
        <v>41913</v>
      </c>
      <c r="N295">
        <v>10</v>
      </c>
      <c r="O295" t="s">
        <v>34</v>
      </c>
      <c r="P295">
        <v>2014</v>
      </c>
    </row>
    <row r="296" spans="1:16" x14ac:dyDescent="0.35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2">
        <v>41699</v>
      </c>
      <c r="N296">
        <v>3</v>
      </c>
      <c r="O296" t="s">
        <v>33</v>
      </c>
      <c r="P296">
        <v>2014</v>
      </c>
    </row>
    <row r="297" spans="1:16" x14ac:dyDescent="0.35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2">
        <v>41913</v>
      </c>
      <c r="N297">
        <v>10</v>
      </c>
      <c r="O297" t="s">
        <v>34</v>
      </c>
      <c r="P297">
        <v>2014</v>
      </c>
    </row>
    <row r="298" spans="1:16" x14ac:dyDescent="0.35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2">
        <v>41548</v>
      </c>
      <c r="N298">
        <v>10</v>
      </c>
      <c r="O298" t="s">
        <v>34</v>
      </c>
      <c r="P298">
        <v>2013</v>
      </c>
    </row>
    <row r="299" spans="1:16" x14ac:dyDescent="0.35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2">
        <v>41730</v>
      </c>
      <c r="N299">
        <v>4</v>
      </c>
      <c r="O299" t="s">
        <v>35</v>
      </c>
      <c r="P299">
        <v>2014</v>
      </c>
    </row>
    <row r="300" spans="1:16" x14ac:dyDescent="0.35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2">
        <v>41671</v>
      </c>
      <c r="N300">
        <v>2</v>
      </c>
      <c r="O300" t="s">
        <v>30</v>
      </c>
      <c r="P300">
        <v>2014</v>
      </c>
    </row>
    <row r="301" spans="1:16" x14ac:dyDescent="0.35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2">
        <v>41730</v>
      </c>
      <c r="N301">
        <v>4</v>
      </c>
      <c r="O301" t="s">
        <v>35</v>
      </c>
      <c r="P301">
        <v>2014</v>
      </c>
    </row>
    <row r="302" spans="1:16" x14ac:dyDescent="0.35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2">
        <v>41791</v>
      </c>
      <c r="N302">
        <v>6</v>
      </c>
      <c r="O302" t="s">
        <v>22</v>
      </c>
      <c r="P302">
        <v>2014</v>
      </c>
    </row>
    <row r="303" spans="1:16" x14ac:dyDescent="0.35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2">
        <v>41791</v>
      </c>
      <c r="N303">
        <v>6</v>
      </c>
      <c r="O303" t="s">
        <v>22</v>
      </c>
      <c r="P303">
        <v>2014</v>
      </c>
    </row>
    <row r="304" spans="1:16" x14ac:dyDescent="0.35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2">
        <v>41791</v>
      </c>
      <c r="N304">
        <v>6</v>
      </c>
      <c r="O304" t="s">
        <v>22</v>
      </c>
      <c r="P304">
        <v>2014</v>
      </c>
    </row>
    <row r="305" spans="1:16" x14ac:dyDescent="0.35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2">
        <v>41699</v>
      </c>
      <c r="N305">
        <v>3</v>
      </c>
      <c r="O305" t="s">
        <v>33</v>
      </c>
      <c r="P305">
        <v>2014</v>
      </c>
    </row>
    <row r="306" spans="1:16" x14ac:dyDescent="0.35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2">
        <v>41791</v>
      </c>
      <c r="N306">
        <v>6</v>
      </c>
      <c r="O306" t="s">
        <v>22</v>
      </c>
      <c r="P306">
        <v>2014</v>
      </c>
    </row>
    <row r="307" spans="1:16" x14ac:dyDescent="0.35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2">
        <v>41791</v>
      </c>
      <c r="N307">
        <v>6</v>
      </c>
      <c r="O307" t="s">
        <v>22</v>
      </c>
      <c r="P307">
        <v>2014</v>
      </c>
    </row>
    <row r="308" spans="1:16" x14ac:dyDescent="0.35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2">
        <v>41791</v>
      </c>
      <c r="N308">
        <v>6</v>
      </c>
      <c r="O308" t="s">
        <v>22</v>
      </c>
      <c r="P308">
        <v>2014</v>
      </c>
    </row>
    <row r="309" spans="1:16" x14ac:dyDescent="0.35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2">
        <v>41821</v>
      </c>
      <c r="N309">
        <v>7</v>
      </c>
      <c r="O309" t="s">
        <v>39</v>
      </c>
      <c r="P309">
        <v>2014</v>
      </c>
    </row>
    <row r="310" spans="1:16" x14ac:dyDescent="0.35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2">
        <v>41852</v>
      </c>
      <c r="N310">
        <v>8</v>
      </c>
      <c r="O310" t="s">
        <v>38</v>
      </c>
      <c r="P310">
        <v>2014</v>
      </c>
    </row>
    <row r="311" spans="1:16" x14ac:dyDescent="0.35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2">
        <v>41548</v>
      </c>
      <c r="N311">
        <v>10</v>
      </c>
      <c r="O311" t="s">
        <v>34</v>
      </c>
      <c r="P311">
        <v>2013</v>
      </c>
    </row>
    <row r="312" spans="1:16" x14ac:dyDescent="0.35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2">
        <v>41974</v>
      </c>
      <c r="N312">
        <v>12</v>
      </c>
      <c r="O312" t="s">
        <v>20</v>
      </c>
      <c r="P312">
        <v>2014</v>
      </c>
    </row>
    <row r="313" spans="1:16" x14ac:dyDescent="0.35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2">
        <v>41671</v>
      </c>
      <c r="N313">
        <v>2</v>
      </c>
      <c r="O313" t="s">
        <v>30</v>
      </c>
      <c r="P313">
        <v>2014</v>
      </c>
    </row>
    <row r="314" spans="1:16" x14ac:dyDescent="0.35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2">
        <v>41699</v>
      </c>
      <c r="N314">
        <v>3</v>
      </c>
      <c r="O314" t="s">
        <v>33</v>
      </c>
      <c r="P314">
        <v>2014</v>
      </c>
    </row>
    <row r="315" spans="1:16" x14ac:dyDescent="0.35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2">
        <v>41791</v>
      </c>
      <c r="N315">
        <v>6</v>
      </c>
      <c r="O315" t="s">
        <v>22</v>
      </c>
      <c r="P315">
        <v>2014</v>
      </c>
    </row>
    <row r="316" spans="1:16" x14ac:dyDescent="0.35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2">
        <v>41852</v>
      </c>
      <c r="N316">
        <v>8</v>
      </c>
      <c r="O316" t="s">
        <v>38</v>
      </c>
      <c r="P316">
        <v>2014</v>
      </c>
    </row>
    <row r="317" spans="1:16" x14ac:dyDescent="0.35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2">
        <v>41548</v>
      </c>
      <c r="N317">
        <v>10</v>
      </c>
      <c r="O317" t="s">
        <v>34</v>
      </c>
      <c r="P317">
        <v>2013</v>
      </c>
    </row>
    <row r="318" spans="1:16" x14ac:dyDescent="0.35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2">
        <v>41671</v>
      </c>
      <c r="N318">
        <v>2</v>
      </c>
      <c r="O318" t="s">
        <v>30</v>
      </c>
      <c r="P318">
        <v>2014</v>
      </c>
    </row>
    <row r="319" spans="1:16" x14ac:dyDescent="0.35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2">
        <v>41730</v>
      </c>
      <c r="N319">
        <v>4</v>
      </c>
      <c r="O319" t="s">
        <v>35</v>
      </c>
      <c r="P319">
        <v>2014</v>
      </c>
    </row>
    <row r="320" spans="1:16" x14ac:dyDescent="0.35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2">
        <v>41791</v>
      </c>
      <c r="N320">
        <v>6</v>
      </c>
      <c r="O320" t="s">
        <v>22</v>
      </c>
      <c r="P320">
        <v>2014</v>
      </c>
    </row>
    <row r="321" spans="1:16" x14ac:dyDescent="0.35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2">
        <v>41791</v>
      </c>
      <c r="N321">
        <v>6</v>
      </c>
      <c r="O321" t="s">
        <v>22</v>
      </c>
      <c r="P321">
        <v>2014</v>
      </c>
    </row>
    <row r="322" spans="1:16" x14ac:dyDescent="0.35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2">
        <v>41883</v>
      </c>
      <c r="N322">
        <v>9</v>
      </c>
      <c r="O322" t="s">
        <v>28</v>
      </c>
      <c r="P322">
        <v>2014</v>
      </c>
    </row>
    <row r="323" spans="1:16" x14ac:dyDescent="0.35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2">
        <v>41730</v>
      </c>
      <c r="N323">
        <v>4</v>
      </c>
      <c r="O323" t="s">
        <v>35</v>
      </c>
      <c r="P323">
        <v>2014</v>
      </c>
    </row>
    <row r="324" spans="1:16" x14ac:dyDescent="0.35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2">
        <v>41730</v>
      </c>
      <c r="N324">
        <v>4</v>
      </c>
      <c r="O324" t="s">
        <v>35</v>
      </c>
      <c r="P324">
        <v>2014</v>
      </c>
    </row>
    <row r="325" spans="1:16" x14ac:dyDescent="0.35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2">
        <v>41852</v>
      </c>
      <c r="N325">
        <v>8</v>
      </c>
      <c r="O325" t="s">
        <v>38</v>
      </c>
      <c r="P325">
        <v>2014</v>
      </c>
    </row>
    <row r="326" spans="1:16" x14ac:dyDescent="0.35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2">
        <v>41974</v>
      </c>
      <c r="N326">
        <v>12</v>
      </c>
      <c r="O326" t="s">
        <v>20</v>
      </c>
      <c r="P326">
        <v>2014</v>
      </c>
    </row>
    <row r="327" spans="1:16" x14ac:dyDescent="0.35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2">
        <v>41671</v>
      </c>
      <c r="N327">
        <v>2</v>
      </c>
      <c r="O327" t="s">
        <v>30</v>
      </c>
      <c r="P327">
        <v>2014</v>
      </c>
    </row>
    <row r="328" spans="1:16" x14ac:dyDescent="0.35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2">
        <v>41883</v>
      </c>
      <c r="N328">
        <v>9</v>
      </c>
      <c r="O328" t="s">
        <v>28</v>
      </c>
      <c r="P328">
        <v>2014</v>
      </c>
    </row>
    <row r="329" spans="1:16" x14ac:dyDescent="0.35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2">
        <v>41518</v>
      </c>
      <c r="N329">
        <v>9</v>
      </c>
      <c r="O329" t="s">
        <v>28</v>
      </c>
      <c r="P329">
        <v>2013</v>
      </c>
    </row>
    <row r="330" spans="1:16" x14ac:dyDescent="0.35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2">
        <v>41883</v>
      </c>
      <c r="N330">
        <v>9</v>
      </c>
      <c r="O330" t="s">
        <v>28</v>
      </c>
      <c r="P330">
        <v>2014</v>
      </c>
    </row>
    <row r="331" spans="1:16" x14ac:dyDescent="0.35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2">
        <v>41548</v>
      </c>
      <c r="N331">
        <v>10</v>
      </c>
      <c r="O331" t="s">
        <v>34</v>
      </c>
      <c r="P331">
        <v>2013</v>
      </c>
    </row>
    <row r="332" spans="1:16" x14ac:dyDescent="0.35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2">
        <v>41548</v>
      </c>
      <c r="N332">
        <v>10</v>
      </c>
      <c r="O332" t="s">
        <v>34</v>
      </c>
      <c r="P332">
        <v>2013</v>
      </c>
    </row>
    <row r="333" spans="1:16" x14ac:dyDescent="0.35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2">
        <v>41699</v>
      </c>
      <c r="N333">
        <v>3</v>
      </c>
      <c r="O333" t="s">
        <v>33</v>
      </c>
      <c r="P333">
        <v>2014</v>
      </c>
    </row>
    <row r="334" spans="1:16" x14ac:dyDescent="0.35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2">
        <v>41730</v>
      </c>
      <c r="N334">
        <v>4</v>
      </c>
      <c r="O334" t="s">
        <v>35</v>
      </c>
      <c r="P334">
        <v>2014</v>
      </c>
    </row>
    <row r="335" spans="1:16" x14ac:dyDescent="0.35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2">
        <v>41518</v>
      </c>
      <c r="N335">
        <v>9</v>
      </c>
      <c r="O335" t="s">
        <v>28</v>
      </c>
      <c r="P335">
        <v>2013</v>
      </c>
    </row>
    <row r="336" spans="1:16" x14ac:dyDescent="0.35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2">
        <v>41548</v>
      </c>
      <c r="N336">
        <v>10</v>
      </c>
      <c r="O336" t="s">
        <v>34</v>
      </c>
      <c r="P336">
        <v>2013</v>
      </c>
    </row>
    <row r="337" spans="1:16" x14ac:dyDescent="0.35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2">
        <v>41852</v>
      </c>
      <c r="N337">
        <v>8</v>
      </c>
      <c r="O337" t="s">
        <v>38</v>
      </c>
      <c r="P337">
        <v>2014</v>
      </c>
    </row>
    <row r="338" spans="1:16" x14ac:dyDescent="0.35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2">
        <v>41548</v>
      </c>
      <c r="N338">
        <v>10</v>
      </c>
      <c r="O338" t="s">
        <v>34</v>
      </c>
      <c r="P338">
        <v>2013</v>
      </c>
    </row>
    <row r="339" spans="1:16" x14ac:dyDescent="0.35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2">
        <v>41791</v>
      </c>
      <c r="N339">
        <v>6</v>
      </c>
      <c r="O339" t="s">
        <v>22</v>
      </c>
      <c r="P339">
        <v>2014</v>
      </c>
    </row>
    <row r="340" spans="1:16" x14ac:dyDescent="0.35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2">
        <v>41791</v>
      </c>
      <c r="N340">
        <v>6</v>
      </c>
      <c r="O340" t="s">
        <v>22</v>
      </c>
      <c r="P340">
        <v>2014</v>
      </c>
    </row>
    <row r="341" spans="1:16" x14ac:dyDescent="0.35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2">
        <v>41883</v>
      </c>
      <c r="N341">
        <v>9</v>
      </c>
      <c r="O341" t="s">
        <v>28</v>
      </c>
      <c r="P341">
        <v>2014</v>
      </c>
    </row>
    <row r="342" spans="1:16" x14ac:dyDescent="0.35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2">
        <v>41548</v>
      </c>
      <c r="N342">
        <v>10</v>
      </c>
      <c r="O342" t="s">
        <v>34</v>
      </c>
      <c r="P342">
        <v>2013</v>
      </c>
    </row>
    <row r="343" spans="1:16" x14ac:dyDescent="0.35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2">
        <v>41944</v>
      </c>
      <c r="N343">
        <v>11</v>
      </c>
      <c r="O343" t="s">
        <v>24</v>
      </c>
      <c r="P343">
        <v>2014</v>
      </c>
    </row>
    <row r="344" spans="1:16" x14ac:dyDescent="0.35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2">
        <v>41518</v>
      </c>
      <c r="N344">
        <v>9</v>
      </c>
      <c r="O344" t="s">
        <v>28</v>
      </c>
      <c r="P344">
        <v>2013</v>
      </c>
    </row>
    <row r="345" spans="1:16" x14ac:dyDescent="0.35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2">
        <v>41579</v>
      </c>
      <c r="N345">
        <v>11</v>
      </c>
      <c r="O345" t="s">
        <v>24</v>
      </c>
      <c r="P345">
        <v>2013</v>
      </c>
    </row>
    <row r="346" spans="1:16" x14ac:dyDescent="0.35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2">
        <v>41730</v>
      </c>
      <c r="N346">
        <v>4</v>
      </c>
      <c r="O346" t="s">
        <v>35</v>
      </c>
      <c r="P346">
        <v>2014</v>
      </c>
    </row>
    <row r="347" spans="1:16" x14ac:dyDescent="0.35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2">
        <v>41913</v>
      </c>
      <c r="N347">
        <v>10</v>
      </c>
      <c r="O347" t="s">
        <v>34</v>
      </c>
      <c r="P347">
        <v>2014</v>
      </c>
    </row>
    <row r="348" spans="1:16" x14ac:dyDescent="0.35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2">
        <v>41548</v>
      </c>
      <c r="N348">
        <v>10</v>
      </c>
      <c r="O348" t="s">
        <v>34</v>
      </c>
      <c r="P348">
        <v>2013</v>
      </c>
    </row>
    <row r="349" spans="1:16" x14ac:dyDescent="0.35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2">
        <v>41791</v>
      </c>
      <c r="N349">
        <v>6</v>
      </c>
      <c r="O349" t="s">
        <v>22</v>
      </c>
      <c r="P349">
        <v>2014</v>
      </c>
    </row>
    <row r="350" spans="1:16" x14ac:dyDescent="0.35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2">
        <v>41944</v>
      </c>
      <c r="N350">
        <v>11</v>
      </c>
      <c r="O350" t="s">
        <v>24</v>
      </c>
      <c r="P350">
        <v>2014</v>
      </c>
    </row>
    <row r="351" spans="1:16" x14ac:dyDescent="0.35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2">
        <v>41579</v>
      </c>
      <c r="N351">
        <v>11</v>
      </c>
      <c r="O351" t="s">
        <v>24</v>
      </c>
      <c r="P351">
        <v>2013</v>
      </c>
    </row>
    <row r="352" spans="1:16" x14ac:dyDescent="0.35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2">
        <v>41548</v>
      </c>
      <c r="N352">
        <v>10</v>
      </c>
      <c r="O352" t="s">
        <v>34</v>
      </c>
      <c r="P352">
        <v>2013</v>
      </c>
    </row>
    <row r="353" spans="1:16" x14ac:dyDescent="0.35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2">
        <v>41548</v>
      </c>
      <c r="N353">
        <v>10</v>
      </c>
      <c r="O353" t="s">
        <v>34</v>
      </c>
      <c r="P353">
        <v>2013</v>
      </c>
    </row>
    <row r="354" spans="1:16" x14ac:dyDescent="0.35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2">
        <v>41974</v>
      </c>
      <c r="N354">
        <v>12</v>
      </c>
      <c r="O354" t="s">
        <v>20</v>
      </c>
      <c r="P354">
        <v>2014</v>
      </c>
    </row>
    <row r="355" spans="1:16" x14ac:dyDescent="0.35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2">
        <v>41974</v>
      </c>
      <c r="N355">
        <v>12</v>
      </c>
      <c r="O355" t="s">
        <v>20</v>
      </c>
      <c r="P355">
        <v>2014</v>
      </c>
    </row>
    <row r="356" spans="1:16" x14ac:dyDescent="0.35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2">
        <v>41791</v>
      </c>
      <c r="N356">
        <v>6</v>
      </c>
      <c r="O356" t="s">
        <v>22</v>
      </c>
      <c r="P356">
        <v>2014</v>
      </c>
    </row>
    <row r="357" spans="1:16" x14ac:dyDescent="0.35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2">
        <v>41548</v>
      </c>
      <c r="N357">
        <v>10</v>
      </c>
      <c r="O357" t="s">
        <v>34</v>
      </c>
      <c r="P357">
        <v>2013</v>
      </c>
    </row>
    <row r="358" spans="1:16" x14ac:dyDescent="0.35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2">
        <v>41974</v>
      </c>
      <c r="N358">
        <v>12</v>
      </c>
      <c r="O358" t="s">
        <v>20</v>
      </c>
      <c r="P358">
        <v>2014</v>
      </c>
    </row>
    <row r="359" spans="1:16" x14ac:dyDescent="0.35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2">
        <v>41699</v>
      </c>
      <c r="N359">
        <v>3</v>
      </c>
      <c r="O359" t="s">
        <v>33</v>
      </c>
      <c r="P359">
        <v>2014</v>
      </c>
    </row>
    <row r="360" spans="1:16" x14ac:dyDescent="0.35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2">
        <v>41699</v>
      </c>
      <c r="N360">
        <v>3</v>
      </c>
      <c r="O360" t="s">
        <v>33</v>
      </c>
      <c r="P360">
        <v>2014</v>
      </c>
    </row>
    <row r="361" spans="1:16" x14ac:dyDescent="0.35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2">
        <v>41760</v>
      </c>
      <c r="N361">
        <v>5</v>
      </c>
      <c r="O361" t="s">
        <v>42</v>
      </c>
      <c r="P361">
        <v>2014</v>
      </c>
    </row>
    <row r="362" spans="1:16" x14ac:dyDescent="0.35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2">
        <v>41974</v>
      </c>
      <c r="N362">
        <v>12</v>
      </c>
      <c r="O362" t="s">
        <v>20</v>
      </c>
      <c r="P362">
        <v>2014</v>
      </c>
    </row>
    <row r="363" spans="1:16" x14ac:dyDescent="0.35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2">
        <v>41730</v>
      </c>
      <c r="N363">
        <v>4</v>
      </c>
      <c r="O363" t="s">
        <v>35</v>
      </c>
      <c r="P363">
        <v>2014</v>
      </c>
    </row>
    <row r="364" spans="1:16" x14ac:dyDescent="0.35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2">
        <v>41791</v>
      </c>
      <c r="N364">
        <v>6</v>
      </c>
      <c r="O364" t="s">
        <v>22</v>
      </c>
      <c r="P364">
        <v>2014</v>
      </c>
    </row>
    <row r="365" spans="1:16" x14ac:dyDescent="0.35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2">
        <v>41883</v>
      </c>
      <c r="N365">
        <v>9</v>
      </c>
      <c r="O365" t="s">
        <v>28</v>
      </c>
      <c r="P365">
        <v>2014</v>
      </c>
    </row>
    <row r="366" spans="1:16" x14ac:dyDescent="0.35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2">
        <v>41609</v>
      </c>
      <c r="N366">
        <v>12</v>
      </c>
      <c r="O366" t="s">
        <v>20</v>
      </c>
      <c r="P366">
        <v>2013</v>
      </c>
    </row>
    <row r="367" spans="1:16" x14ac:dyDescent="0.35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2">
        <v>41791</v>
      </c>
      <c r="N367">
        <v>6</v>
      </c>
      <c r="O367" t="s">
        <v>22</v>
      </c>
      <c r="P367">
        <v>2014</v>
      </c>
    </row>
    <row r="368" spans="1:16" x14ac:dyDescent="0.35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2">
        <v>41974</v>
      </c>
      <c r="N368">
        <v>12</v>
      </c>
      <c r="O368" t="s">
        <v>20</v>
      </c>
      <c r="P368">
        <v>2014</v>
      </c>
    </row>
    <row r="369" spans="1:16" x14ac:dyDescent="0.35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2">
        <v>41974</v>
      </c>
      <c r="N369">
        <v>12</v>
      </c>
      <c r="O369" t="s">
        <v>20</v>
      </c>
      <c r="P369">
        <v>2014</v>
      </c>
    </row>
    <row r="370" spans="1:16" x14ac:dyDescent="0.35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2">
        <v>41913</v>
      </c>
      <c r="N370">
        <v>10</v>
      </c>
      <c r="O370" t="s">
        <v>34</v>
      </c>
      <c r="P370">
        <v>2014</v>
      </c>
    </row>
    <row r="371" spans="1:16" x14ac:dyDescent="0.35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2">
        <v>41671</v>
      </c>
      <c r="N371">
        <v>2</v>
      </c>
      <c r="O371" t="s">
        <v>30</v>
      </c>
      <c r="P371">
        <v>2014</v>
      </c>
    </row>
    <row r="372" spans="1:16" x14ac:dyDescent="0.35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2">
        <v>41730</v>
      </c>
      <c r="N372">
        <v>4</v>
      </c>
      <c r="O372" t="s">
        <v>35</v>
      </c>
      <c r="P372">
        <v>2014</v>
      </c>
    </row>
    <row r="373" spans="1:16" x14ac:dyDescent="0.35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2">
        <v>41791</v>
      </c>
      <c r="N373">
        <v>6</v>
      </c>
      <c r="O373" t="s">
        <v>22</v>
      </c>
      <c r="P373">
        <v>2014</v>
      </c>
    </row>
    <row r="374" spans="1:16" x14ac:dyDescent="0.35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2">
        <v>41852</v>
      </c>
      <c r="N374">
        <v>8</v>
      </c>
      <c r="O374" t="s">
        <v>38</v>
      </c>
      <c r="P374">
        <v>2014</v>
      </c>
    </row>
    <row r="375" spans="1:16" x14ac:dyDescent="0.35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2">
        <v>41548</v>
      </c>
      <c r="N375">
        <v>10</v>
      </c>
      <c r="O375" t="s">
        <v>34</v>
      </c>
      <c r="P375">
        <v>2013</v>
      </c>
    </row>
    <row r="376" spans="1:16" x14ac:dyDescent="0.35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2">
        <v>41640</v>
      </c>
      <c r="N376">
        <v>1</v>
      </c>
      <c r="O376" t="s">
        <v>41</v>
      </c>
      <c r="P376">
        <v>2014</v>
      </c>
    </row>
    <row r="377" spans="1:16" x14ac:dyDescent="0.35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2">
        <v>41913</v>
      </c>
      <c r="N377">
        <v>10</v>
      </c>
      <c r="O377" t="s">
        <v>34</v>
      </c>
      <c r="P377">
        <v>2014</v>
      </c>
    </row>
    <row r="378" spans="1:16" x14ac:dyDescent="0.35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2">
        <v>41913</v>
      </c>
      <c r="N378">
        <v>10</v>
      </c>
      <c r="O378" t="s">
        <v>34</v>
      </c>
      <c r="P378">
        <v>2014</v>
      </c>
    </row>
    <row r="379" spans="1:16" x14ac:dyDescent="0.35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2">
        <v>41699</v>
      </c>
      <c r="N379">
        <v>3</v>
      </c>
      <c r="O379" t="s">
        <v>33</v>
      </c>
      <c r="P379">
        <v>2014</v>
      </c>
    </row>
    <row r="380" spans="1:16" x14ac:dyDescent="0.35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2">
        <v>41852</v>
      </c>
      <c r="N380">
        <v>8</v>
      </c>
      <c r="O380" t="s">
        <v>38</v>
      </c>
      <c r="P380">
        <v>2014</v>
      </c>
    </row>
    <row r="381" spans="1:16" x14ac:dyDescent="0.35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2">
        <v>41913</v>
      </c>
      <c r="N381">
        <v>10</v>
      </c>
      <c r="O381" t="s">
        <v>34</v>
      </c>
      <c r="P381">
        <v>2014</v>
      </c>
    </row>
    <row r="382" spans="1:16" x14ac:dyDescent="0.35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2">
        <v>41974</v>
      </c>
      <c r="N382">
        <v>12</v>
      </c>
      <c r="O382" t="s">
        <v>20</v>
      </c>
      <c r="P382">
        <v>2014</v>
      </c>
    </row>
    <row r="383" spans="1:16" x14ac:dyDescent="0.35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2">
        <v>41699</v>
      </c>
      <c r="N383">
        <v>3</v>
      </c>
      <c r="O383" t="s">
        <v>33</v>
      </c>
      <c r="P383">
        <v>2014</v>
      </c>
    </row>
    <row r="384" spans="1:16" x14ac:dyDescent="0.35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2">
        <v>41760</v>
      </c>
      <c r="N384">
        <v>5</v>
      </c>
      <c r="O384" t="s">
        <v>42</v>
      </c>
      <c r="P384">
        <v>2014</v>
      </c>
    </row>
    <row r="385" spans="1:16" x14ac:dyDescent="0.35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2">
        <v>41548</v>
      </c>
      <c r="N385">
        <v>10</v>
      </c>
      <c r="O385" t="s">
        <v>34</v>
      </c>
      <c r="P385">
        <v>2013</v>
      </c>
    </row>
    <row r="386" spans="1:16" x14ac:dyDescent="0.35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2">
        <v>41730</v>
      </c>
      <c r="N386">
        <v>4</v>
      </c>
      <c r="O386" t="s">
        <v>35</v>
      </c>
      <c r="P386">
        <v>2014</v>
      </c>
    </row>
    <row r="387" spans="1:16" x14ac:dyDescent="0.35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2">
        <v>41548</v>
      </c>
      <c r="N387">
        <v>10</v>
      </c>
      <c r="O387" t="s">
        <v>34</v>
      </c>
      <c r="P387">
        <v>2013</v>
      </c>
    </row>
    <row r="388" spans="1:16" x14ac:dyDescent="0.35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2">
        <v>41974</v>
      </c>
      <c r="N388">
        <v>12</v>
      </c>
      <c r="O388" t="s">
        <v>20</v>
      </c>
      <c r="P388">
        <v>2014</v>
      </c>
    </row>
    <row r="389" spans="1:16" x14ac:dyDescent="0.35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2">
        <v>41852</v>
      </c>
      <c r="N389">
        <v>8</v>
      </c>
      <c r="O389" t="s">
        <v>38</v>
      </c>
      <c r="P389">
        <v>2014</v>
      </c>
    </row>
    <row r="390" spans="1:16" x14ac:dyDescent="0.35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2">
        <v>41671</v>
      </c>
      <c r="N390">
        <v>2</v>
      </c>
      <c r="O390" t="s">
        <v>30</v>
      </c>
      <c r="P390">
        <v>2014</v>
      </c>
    </row>
    <row r="391" spans="1:16" x14ac:dyDescent="0.35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2">
        <v>41671</v>
      </c>
      <c r="N391">
        <v>2</v>
      </c>
      <c r="O391" t="s">
        <v>30</v>
      </c>
      <c r="P391">
        <v>2014</v>
      </c>
    </row>
    <row r="392" spans="1:16" x14ac:dyDescent="0.35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2">
        <v>41791</v>
      </c>
      <c r="N392">
        <v>6</v>
      </c>
      <c r="O392" t="s">
        <v>22</v>
      </c>
      <c r="P392">
        <v>2014</v>
      </c>
    </row>
    <row r="393" spans="1:16" x14ac:dyDescent="0.35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2">
        <v>41944</v>
      </c>
      <c r="N393">
        <v>11</v>
      </c>
      <c r="O393" t="s">
        <v>24</v>
      </c>
      <c r="P393">
        <v>2014</v>
      </c>
    </row>
    <row r="394" spans="1:16" x14ac:dyDescent="0.35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2">
        <v>41821</v>
      </c>
      <c r="N394">
        <v>7</v>
      </c>
      <c r="O394" t="s">
        <v>39</v>
      </c>
      <c r="P394">
        <v>2014</v>
      </c>
    </row>
    <row r="395" spans="1:16" x14ac:dyDescent="0.35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2">
        <v>41944</v>
      </c>
      <c r="N395">
        <v>11</v>
      </c>
      <c r="O395" t="s">
        <v>24</v>
      </c>
      <c r="P395">
        <v>2014</v>
      </c>
    </row>
    <row r="396" spans="1:16" x14ac:dyDescent="0.35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2">
        <v>41609</v>
      </c>
      <c r="N396">
        <v>12</v>
      </c>
      <c r="O396" t="s">
        <v>20</v>
      </c>
      <c r="P396">
        <v>2013</v>
      </c>
    </row>
    <row r="397" spans="1:16" x14ac:dyDescent="0.35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2">
        <v>41640</v>
      </c>
      <c r="N397">
        <v>1</v>
      </c>
      <c r="O397" t="s">
        <v>41</v>
      </c>
      <c r="P397">
        <v>2014</v>
      </c>
    </row>
    <row r="398" spans="1:16" x14ac:dyDescent="0.35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2">
        <v>41640</v>
      </c>
      <c r="N398">
        <v>1</v>
      </c>
      <c r="O398" t="s">
        <v>41</v>
      </c>
      <c r="P398">
        <v>2014</v>
      </c>
    </row>
    <row r="399" spans="1:16" x14ac:dyDescent="0.35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2">
        <v>41671</v>
      </c>
      <c r="N399">
        <v>2</v>
      </c>
      <c r="O399" t="s">
        <v>30</v>
      </c>
      <c r="P399">
        <v>2014</v>
      </c>
    </row>
    <row r="400" spans="1:16" x14ac:dyDescent="0.35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2">
        <v>41913</v>
      </c>
      <c r="N400">
        <v>10</v>
      </c>
      <c r="O400" t="s">
        <v>34</v>
      </c>
      <c r="P400">
        <v>2014</v>
      </c>
    </row>
    <row r="401" spans="1:16" x14ac:dyDescent="0.35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2">
        <v>41548</v>
      </c>
      <c r="N401">
        <v>10</v>
      </c>
      <c r="O401" t="s">
        <v>34</v>
      </c>
      <c r="P401">
        <v>2013</v>
      </c>
    </row>
    <row r="402" spans="1:16" x14ac:dyDescent="0.35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2">
        <v>41974</v>
      </c>
      <c r="N402">
        <v>12</v>
      </c>
      <c r="O402" t="s">
        <v>20</v>
      </c>
      <c r="P402">
        <v>2014</v>
      </c>
    </row>
    <row r="403" spans="1:16" x14ac:dyDescent="0.35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2">
        <v>41974</v>
      </c>
      <c r="N403">
        <v>12</v>
      </c>
      <c r="O403" t="s">
        <v>20</v>
      </c>
      <c r="P403">
        <v>2014</v>
      </c>
    </row>
    <row r="404" spans="1:16" x14ac:dyDescent="0.35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2">
        <v>41791</v>
      </c>
      <c r="N404">
        <v>6</v>
      </c>
      <c r="O404" t="s">
        <v>22</v>
      </c>
      <c r="P404">
        <v>2014</v>
      </c>
    </row>
    <row r="405" spans="1:16" x14ac:dyDescent="0.35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2">
        <v>41883</v>
      </c>
      <c r="N405">
        <v>9</v>
      </c>
      <c r="O405" t="s">
        <v>28</v>
      </c>
      <c r="P405">
        <v>2014</v>
      </c>
    </row>
    <row r="406" spans="1:16" x14ac:dyDescent="0.35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2">
        <v>41548</v>
      </c>
      <c r="N406">
        <v>10</v>
      </c>
      <c r="O406" t="s">
        <v>34</v>
      </c>
      <c r="P406">
        <v>2013</v>
      </c>
    </row>
    <row r="407" spans="1:16" x14ac:dyDescent="0.35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2">
        <v>41944</v>
      </c>
      <c r="N407">
        <v>11</v>
      </c>
      <c r="O407" t="s">
        <v>24</v>
      </c>
      <c r="P407">
        <v>2014</v>
      </c>
    </row>
    <row r="408" spans="1:16" x14ac:dyDescent="0.35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2">
        <v>41609</v>
      </c>
      <c r="N408">
        <v>12</v>
      </c>
      <c r="O408" t="s">
        <v>20</v>
      </c>
      <c r="P408">
        <v>2013</v>
      </c>
    </row>
    <row r="409" spans="1:16" x14ac:dyDescent="0.35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2">
        <v>41944</v>
      </c>
      <c r="N409">
        <v>11</v>
      </c>
      <c r="O409" t="s">
        <v>24</v>
      </c>
      <c r="P409">
        <v>2014</v>
      </c>
    </row>
    <row r="410" spans="1:16" x14ac:dyDescent="0.35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2">
        <v>41671</v>
      </c>
      <c r="N410">
        <v>2</v>
      </c>
      <c r="O410" t="s">
        <v>30</v>
      </c>
      <c r="P410">
        <v>2014</v>
      </c>
    </row>
    <row r="411" spans="1:16" x14ac:dyDescent="0.35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2">
        <v>41671</v>
      </c>
      <c r="N411">
        <v>2</v>
      </c>
      <c r="O411" t="s">
        <v>30</v>
      </c>
      <c r="P411">
        <v>2014</v>
      </c>
    </row>
    <row r="412" spans="1:16" x14ac:dyDescent="0.35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2">
        <v>41760</v>
      </c>
      <c r="N412">
        <v>5</v>
      </c>
      <c r="O412" t="s">
        <v>42</v>
      </c>
      <c r="P412">
        <v>2014</v>
      </c>
    </row>
    <row r="413" spans="1:16" x14ac:dyDescent="0.35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2">
        <v>41548</v>
      </c>
      <c r="N413">
        <v>10</v>
      </c>
      <c r="O413" t="s">
        <v>34</v>
      </c>
      <c r="P413">
        <v>2013</v>
      </c>
    </row>
    <row r="414" spans="1:16" x14ac:dyDescent="0.35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2">
        <v>41791</v>
      </c>
      <c r="N414">
        <v>6</v>
      </c>
      <c r="O414" t="s">
        <v>22</v>
      </c>
      <c r="P414">
        <v>2014</v>
      </c>
    </row>
    <row r="415" spans="1:16" x14ac:dyDescent="0.35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2">
        <v>41548</v>
      </c>
      <c r="N415">
        <v>10</v>
      </c>
      <c r="O415" t="s">
        <v>34</v>
      </c>
      <c r="P415">
        <v>2013</v>
      </c>
    </row>
    <row r="416" spans="1:16" x14ac:dyDescent="0.35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2">
        <v>41609</v>
      </c>
      <c r="N416">
        <v>12</v>
      </c>
      <c r="O416" t="s">
        <v>20</v>
      </c>
      <c r="P416">
        <v>2013</v>
      </c>
    </row>
    <row r="417" spans="1:16" x14ac:dyDescent="0.35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2">
        <v>41640</v>
      </c>
      <c r="N417">
        <v>1</v>
      </c>
      <c r="O417" t="s">
        <v>41</v>
      </c>
      <c r="P417">
        <v>2014</v>
      </c>
    </row>
    <row r="418" spans="1:16" x14ac:dyDescent="0.35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2">
        <v>41913</v>
      </c>
      <c r="N418">
        <v>10</v>
      </c>
      <c r="O418" t="s">
        <v>34</v>
      </c>
      <c r="P418">
        <v>2014</v>
      </c>
    </row>
    <row r="419" spans="1:16" x14ac:dyDescent="0.35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2">
        <v>41671</v>
      </c>
      <c r="N419">
        <v>2</v>
      </c>
      <c r="O419" t="s">
        <v>30</v>
      </c>
      <c r="P419">
        <v>2014</v>
      </c>
    </row>
    <row r="420" spans="1:16" x14ac:dyDescent="0.35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2">
        <v>41852</v>
      </c>
      <c r="N420">
        <v>8</v>
      </c>
      <c r="O420" t="s">
        <v>38</v>
      </c>
      <c r="P420">
        <v>2014</v>
      </c>
    </row>
    <row r="421" spans="1:16" x14ac:dyDescent="0.35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2">
        <v>41640</v>
      </c>
      <c r="N421">
        <v>1</v>
      </c>
      <c r="O421" t="s">
        <v>41</v>
      </c>
      <c r="P421">
        <v>2014</v>
      </c>
    </row>
    <row r="422" spans="1:16" x14ac:dyDescent="0.35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2">
        <v>41944</v>
      </c>
      <c r="N422">
        <v>11</v>
      </c>
      <c r="O422" t="s">
        <v>24</v>
      </c>
      <c r="P422">
        <v>2014</v>
      </c>
    </row>
    <row r="423" spans="1:16" x14ac:dyDescent="0.35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2">
        <v>41760</v>
      </c>
      <c r="N423">
        <v>5</v>
      </c>
      <c r="O423" t="s">
        <v>42</v>
      </c>
      <c r="P423">
        <v>2014</v>
      </c>
    </row>
    <row r="424" spans="1:16" x14ac:dyDescent="0.35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2">
        <v>41730</v>
      </c>
      <c r="N424">
        <v>4</v>
      </c>
      <c r="O424" t="s">
        <v>35</v>
      </c>
      <c r="P424">
        <v>2014</v>
      </c>
    </row>
    <row r="425" spans="1:16" x14ac:dyDescent="0.35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2">
        <v>41518</v>
      </c>
      <c r="N425">
        <v>9</v>
      </c>
      <c r="O425" t="s">
        <v>28</v>
      </c>
      <c r="P425">
        <v>2013</v>
      </c>
    </row>
    <row r="426" spans="1:16" x14ac:dyDescent="0.35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2">
        <v>41791</v>
      </c>
      <c r="N426">
        <v>6</v>
      </c>
      <c r="O426" t="s">
        <v>22</v>
      </c>
      <c r="P426">
        <v>2014</v>
      </c>
    </row>
    <row r="427" spans="1:16" x14ac:dyDescent="0.35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2">
        <v>41913</v>
      </c>
      <c r="N427">
        <v>10</v>
      </c>
      <c r="O427" t="s">
        <v>34</v>
      </c>
      <c r="P427">
        <v>2014</v>
      </c>
    </row>
    <row r="428" spans="1:16" x14ac:dyDescent="0.35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2">
        <v>41913</v>
      </c>
      <c r="N428">
        <v>10</v>
      </c>
      <c r="O428" t="s">
        <v>34</v>
      </c>
      <c r="P428">
        <v>2014</v>
      </c>
    </row>
    <row r="429" spans="1:16" x14ac:dyDescent="0.35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2">
        <v>41579</v>
      </c>
      <c r="N429">
        <v>11</v>
      </c>
      <c r="O429" t="s">
        <v>24</v>
      </c>
      <c r="P429">
        <v>2013</v>
      </c>
    </row>
    <row r="430" spans="1:16" x14ac:dyDescent="0.35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2">
        <v>41821</v>
      </c>
      <c r="N430">
        <v>7</v>
      </c>
      <c r="O430" t="s">
        <v>39</v>
      </c>
      <c r="P430">
        <v>2014</v>
      </c>
    </row>
    <row r="431" spans="1:16" x14ac:dyDescent="0.35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2">
        <v>41883</v>
      </c>
      <c r="N431">
        <v>9</v>
      </c>
      <c r="O431" t="s">
        <v>28</v>
      </c>
      <c r="P431">
        <v>2014</v>
      </c>
    </row>
    <row r="432" spans="1:16" x14ac:dyDescent="0.35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2">
        <v>41974</v>
      </c>
      <c r="N432">
        <v>12</v>
      </c>
      <c r="O432" t="s">
        <v>20</v>
      </c>
      <c r="P432">
        <v>2014</v>
      </c>
    </row>
    <row r="433" spans="1:16" x14ac:dyDescent="0.35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2">
        <v>41640</v>
      </c>
      <c r="N433">
        <v>1</v>
      </c>
      <c r="O433" t="s">
        <v>41</v>
      </c>
      <c r="P433">
        <v>2014</v>
      </c>
    </row>
    <row r="434" spans="1:16" x14ac:dyDescent="0.35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2">
        <v>41671</v>
      </c>
      <c r="N434">
        <v>2</v>
      </c>
      <c r="O434" t="s">
        <v>30</v>
      </c>
      <c r="P434">
        <v>2014</v>
      </c>
    </row>
    <row r="435" spans="1:16" x14ac:dyDescent="0.35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2">
        <v>41671</v>
      </c>
      <c r="N435">
        <v>2</v>
      </c>
      <c r="O435" t="s">
        <v>30</v>
      </c>
      <c r="P435">
        <v>2014</v>
      </c>
    </row>
    <row r="436" spans="1:16" x14ac:dyDescent="0.35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2">
        <v>41760</v>
      </c>
      <c r="N436">
        <v>5</v>
      </c>
      <c r="O436" t="s">
        <v>42</v>
      </c>
      <c r="P436">
        <v>2014</v>
      </c>
    </row>
    <row r="437" spans="1:16" x14ac:dyDescent="0.35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2">
        <v>41518</v>
      </c>
      <c r="N437">
        <v>9</v>
      </c>
      <c r="O437" t="s">
        <v>28</v>
      </c>
      <c r="P437">
        <v>2013</v>
      </c>
    </row>
    <row r="438" spans="1:16" x14ac:dyDescent="0.35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2">
        <v>41974</v>
      </c>
      <c r="N438">
        <v>12</v>
      </c>
      <c r="O438" t="s">
        <v>20</v>
      </c>
      <c r="P438">
        <v>2014</v>
      </c>
    </row>
    <row r="439" spans="1:16" x14ac:dyDescent="0.35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2">
        <v>41852</v>
      </c>
      <c r="N439">
        <v>8</v>
      </c>
      <c r="O439" t="s">
        <v>38</v>
      </c>
      <c r="P439">
        <v>2014</v>
      </c>
    </row>
    <row r="440" spans="1:16" x14ac:dyDescent="0.35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2">
        <v>41944</v>
      </c>
      <c r="N440">
        <v>11</v>
      </c>
      <c r="O440" t="s">
        <v>24</v>
      </c>
      <c r="P440">
        <v>2014</v>
      </c>
    </row>
    <row r="441" spans="1:16" x14ac:dyDescent="0.35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2">
        <v>41699</v>
      </c>
      <c r="N441">
        <v>3</v>
      </c>
      <c r="O441" t="s">
        <v>33</v>
      </c>
      <c r="P441">
        <v>2014</v>
      </c>
    </row>
    <row r="442" spans="1:16" x14ac:dyDescent="0.35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2">
        <v>41852</v>
      </c>
      <c r="N442">
        <v>8</v>
      </c>
      <c r="O442" t="s">
        <v>38</v>
      </c>
      <c r="P442">
        <v>2014</v>
      </c>
    </row>
    <row r="443" spans="1:16" x14ac:dyDescent="0.35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2">
        <v>41518</v>
      </c>
      <c r="N443">
        <v>9</v>
      </c>
      <c r="O443" t="s">
        <v>28</v>
      </c>
      <c r="P443">
        <v>2013</v>
      </c>
    </row>
    <row r="444" spans="1:16" x14ac:dyDescent="0.35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2">
        <v>41974</v>
      </c>
      <c r="N444">
        <v>12</v>
      </c>
      <c r="O444" t="s">
        <v>20</v>
      </c>
      <c r="P444">
        <v>2014</v>
      </c>
    </row>
    <row r="445" spans="1:16" x14ac:dyDescent="0.35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2">
        <v>41699</v>
      </c>
      <c r="N445">
        <v>3</v>
      </c>
      <c r="O445" t="s">
        <v>33</v>
      </c>
      <c r="P445">
        <v>2014</v>
      </c>
    </row>
    <row r="446" spans="1:16" x14ac:dyDescent="0.35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2">
        <v>41579</v>
      </c>
      <c r="N446">
        <v>11</v>
      </c>
      <c r="O446" t="s">
        <v>24</v>
      </c>
      <c r="P446">
        <v>2013</v>
      </c>
    </row>
    <row r="447" spans="1:16" x14ac:dyDescent="0.35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2">
        <v>41974</v>
      </c>
      <c r="N447">
        <v>12</v>
      </c>
      <c r="O447" t="s">
        <v>20</v>
      </c>
      <c r="P447">
        <v>2014</v>
      </c>
    </row>
    <row r="448" spans="1:16" x14ac:dyDescent="0.35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2">
        <v>41883</v>
      </c>
      <c r="N448">
        <v>9</v>
      </c>
      <c r="O448" t="s">
        <v>28</v>
      </c>
      <c r="P448">
        <v>2014</v>
      </c>
    </row>
    <row r="449" spans="1:16" x14ac:dyDescent="0.35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2">
        <v>41609</v>
      </c>
      <c r="N449">
        <v>12</v>
      </c>
      <c r="O449" t="s">
        <v>20</v>
      </c>
      <c r="P449">
        <v>2013</v>
      </c>
    </row>
    <row r="450" spans="1:16" x14ac:dyDescent="0.35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2">
        <v>41791</v>
      </c>
      <c r="N450">
        <v>6</v>
      </c>
      <c r="O450" t="s">
        <v>22</v>
      </c>
      <c r="P450">
        <v>2014</v>
      </c>
    </row>
    <row r="451" spans="1:16" x14ac:dyDescent="0.35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2">
        <v>41974</v>
      </c>
      <c r="N451">
        <v>12</v>
      </c>
      <c r="O451" t="s">
        <v>20</v>
      </c>
      <c r="P451">
        <v>2014</v>
      </c>
    </row>
    <row r="452" spans="1:16" x14ac:dyDescent="0.35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2">
        <v>41609</v>
      </c>
      <c r="N452">
        <v>12</v>
      </c>
      <c r="O452" t="s">
        <v>20</v>
      </c>
      <c r="P452">
        <v>2013</v>
      </c>
    </row>
    <row r="453" spans="1:16" x14ac:dyDescent="0.35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2">
        <v>41974</v>
      </c>
      <c r="N453">
        <v>12</v>
      </c>
      <c r="O453" t="s">
        <v>20</v>
      </c>
      <c r="P453">
        <v>2014</v>
      </c>
    </row>
    <row r="454" spans="1:16" x14ac:dyDescent="0.35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2">
        <v>41791</v>
      </c>
      <c r="N454">
        <v>6</v>
      </c>
      <c r="O454" t="s">
        <v>22</v>
      </c>
      <c r="P454">
        <v>2014</v>
      </c>
    </row>
    <row r="455" spans="1:16" x14ac:dyDescent="0.35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2">
        <v>41548</v>
      </c>
      <c r="N455">
        <v>10</v>
      </c>
      <c r="O455" t="s">
        <v>34</v>
      </c>
      <c r="P455">
        <v>2013</v>
      </c>
    </row>
    <row r="456" spans="1:16" x14ac:dyDescent="0.35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2">
        <v>41730</v>
      </c>
      <c r="N456">
        <v>4</v>
      </c>
      <c r="O456" t="s">
        <v>35</v>
      </c>
      <c r="P456">
        <v>2014</v>
      </c>
    </row>
    <row r="457" spans="1:16" x14ac:dyDescent="0.35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2">
        <v>41518</v>
      </c>
      <c r="N457">
        <v>9</v>
      </c>
      <c r="O457" t="s">
        <v>28</v>
      </c>
      <c r="P457">
        <v>2013</v>
      </c>
    </row>
    <row r="458" spans="1:16" x14ac:dyDescent="0.35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2">
        <v>41944</v>
      </c>
      <c r="N458">
        <v>11</v>
      </c>
      <c r="O458" t="s">
        <v>24</v>
      </c>
      <c r="P458">
        <v>2014</v>
      </c>
    </row>
    <row r="459" spans="1:16" x14ac:dyDescent="0.35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2">
        <v>41579</v>
      </c>
      <c r="N459">
        <v>11</v>
      </c>
      <c r="O459" t="s">
        <v>24</v>
      </c>
      <c r="P459">
        <v>2013</v>
      </c>
    </row>
    <row r="460" spans="1:16" x14ac:dyDescent="0.35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2">
        <v>41974</v>
      </c>
      <c r="N460">
        <v>12</v>
      </c>
      <c r="O460" t="s">
        <v>20</v>
      </c>
      <c r="P460">
        <v>2014</v>
      </c>
    </row>
    <row r="461" spans="1:16" x14ac:dyDescent="0.35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2">
        <v>41609</v>
      </c>
      <c r="N461">
        <v>12</v>
      </c>
      <c r="O461" t="s">
        <v>20</v>
      </c>
      <c r="P461">
        <v>2013</v>
      </c>
    </row>
    <row r="462" spans="1:16" x14ac:dyDescent="0.35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2">
        <v>41760</v>
      </c>
      <c r="N462">
        <v>5</v>
      </c>
      <c r="O462" t="s">
        <v>42</v>
      </c>
      <c r="P462">
        <v>2014</v>
      </c>
    </row>
    <row r="463" spans="1:16" x14ac:dyDescent="0.35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2">
        <v>41821</v>
      </c>
      <c r="N463">
        <v>7</v>
      </c>
      <c r="O463" t="s">
        <v>39</v>
      </c>
      <c r="P463">
        <v>2014</v>
      </c>
    </row>
    <row r="464" spans="1:16" x14ac:dyDescent="0.35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2">
        <v>41883</v>
      </c>
      <c r="N464">
        <v>9</v>
      </c>
      <c r="O464" t="s">
        <v>28</v>
      </c>
      <c r="P464">
        <v>2014</v>
      </c>
    </row>
    <row r="465" spans="1:16" x14ac:dyDescent="0.35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2">
        <v>41883</v>
      </c>
      <c r="N465">
        <v>9</v>
      </c>
      <c r="O465" t="s">
        <v>28</v>
      </c>
      <c r="P465">
        <v>2014</v>
      </c>
    </row>
    <row r="466" spans="1:16" x14ac:dyDescent="0.35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2">
        <v>41640</v>
      </c>
      <c r="N466">
        <v>1</v>
      </c>
      <c r="O466" t="s">
        <v>41</v>
      </c>
      <c r="P466">
        <v>2014</v>
      </c>
    </row>
    <row r="467" spans="1:16" x14ac:dyDescent="0.35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2">
        <v>41671</v>
      </c>
      <c r="N467">
        <v>2</v>
      </c>
      <c r="O467" t="s">
        <v>30</v>
      </c>
      <c r="P467">
        <v>2014</v>
      </c>
    </row>
    <row r="468" spans="1:16" x14ac:dyDescent="0.35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2">
        <v>41760</v>
      </c>
      <c r="N468">
        <v>5</v>
      </c>
      <c r="O468" t="s">
        <v>42</v>
      </c>
      <c r="P468">
        <v>2014</v>
      </c>
    </row>
    <row r="469" spans="1:16" x14ac:dyDescent="0.35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2">
        <v>41883</v>
      </c>
      <c r="N469">
        <v>9</v>
      </c>
      <c r="O469" t="s">
        <v>28</v>
      </c>
      <c r="P469">
        <v>2014</v>
      </c>
    </row>
    <row r="470" spans="1:16" x14ac:dyDescent="0.35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2">
        <v>41518</v>
      </c>
      <c r="N470">
        <v>9</v>
      </c>
      <c r="O470" t="s">
        <v>28</v>
      </c>
      <c r="P470">
        <v>2013</v>
      </c>
    </row>
    <row r="471" spans="1:16" x14ac:dyDescent="0.35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2">
        <v>41913</v>
      </c>
      <c r="N471">
        <v>10</v>
      </c>
      <c r="O471" t="s">
        <v>34</v>
      </c>
      <c r="P471">
        <v>2014</v>
      </c>
    </row>
    <row r="472" spans="1:16" x14ac:dyDescent="0.35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2">
        <v>41944</v>
      </c>
      <c r="N472">
        <v>11</v>
      </c>
      <c r="O472" t="s">
        <v>24</v>
      </c>
      <c r="P472">
        <v>2014</v>
      </c>
    </row>
    <row r="473" spans="1:16" x14ac:dyDescent="0.35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2">
        <v>41579</v>
      </c>
      <c r="N473">
        <v>11</v>
      </c>
      <c r="O473" t="s">
        <v>24</v>
      </c>
      <c r="P473">
        <v>2013</v>
      </c>
    </row>
    <row r="474" spans="1:16" x14ac:dyDescent="0.35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2">
        <v>41883</v>
      </c>
      <c r="N474">
        <v>9</v>
      </c>
      <c r="O474" t="s">
        <v>28</v>
      </c>
      <c r="P474">
        <v>2014</v>
      </c>
    </row>
    <row r="475" spans="1:16" x14ac:dyDescent="0.35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2">
        <v>41699</v>
      </c>
      <c r="N475">
        <v>3</v>
      </c>
      <c r="O475" t="s">
        <v>33</v>
      </c>
      <c r="P475">
        <v>2014</v>
      </c>
    </row>
    <row r="476" spans="1:16" x14ac:dyDescent="0.35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2">
        <v>41730</v>
      </c>
      <c r="N476">
        <v>4</v>
      </c>
      <c r="O476" t="s">
        <v>35</v>
      </c>
      <c r="P476">
        <v>2014</v>
      </c>
    </row>
    <row r="477" spans="1:16" x14ac:dyDescent="0.35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2">
        <v>41821</v>
      </c>
      <c r="N477">
        <v>7</v>
      </c>
      <c r="O477" t="s">
        <v>39</v>
      </c>
      <c r="P477">
        <v>2014</v>
      </c>
    </row>
    <row r="478" spans="1:16" x14ac:dyDescent="0.35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2">
        <v>41609</v>
      </c>
      <c r="N478">
        <v>12</v>
      </c>
      <c r="O478" t="s">
        <v>20</v>
      </c>
      <c r="P478">
        <v>2013</v>
      </c>
    </row>
    <row r="479" spans="1:16" x14ac:dyDescent="0.35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2">
        <v>41548</v>
      </c>
      <c r="N479">
        <v>10</v>
      </c>
      <c r="O479" t="s">
        <v>34</v>
      </c>
      <c r="P479">
        <v>2013</v>
      </c>
    </row>
    <row r="480" spans="1:16" x14ac:dyDescent="0.35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2">
        <v>41730</v>
      </c>
      <c r="N480">
        <v>4</v>
      </c>
      <c r="O480" t="s">
        <v>35</v>
      </c>
      <c r="P480">
        <v>2014</v>
      </c>
    </row>
    <row r="481" spans="1:16" x14ac:dyDescent="0.35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2">
        <v>41609</v>
      </c>
      <c r="N481">
        <v>12</v>
      </c>
      <c r="O481" t="s">
        <v>20</v>
      </c>
      <c r="P481">
        <v>2013</v>
      </c>
    </row>
    <row r="482" spans="1:16" x14ac:dyDescent="0.35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2">
        <v>41579</v>
      </c>
      <c r="N482">
        <v>11</v>
      </c>
      <c r="O482" t="s">
        <v>24</v>
      </c>
      <c r="P482">
        <v>2013</v>
      </c>
    </row>
    <row r="483" spans="1:16" x14ac:dyDescent="0.35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2">
        <v>41974</v>
      </c>
      <c r="N483">
        <v>12</v>
      </c>
      <c r="O483" t="s">
        <v>20</v>
      </c>
      <c r="P483">
        <v>2014</v>
      </c>
    </row>
    <row r="484" spans="1:16" x14ac:dyDescent="0.35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2">
        <v>41640</v>
      </c>
      <c r="N484">
        <v>1</v>
      </c>
      <c r="O484" t="s">
        <v>41</v>
      </c>
      <c r="P484">
        <v>2014</v>
      </c>
    </row>
    <row r="485" spans="1:16" x14ac:dyDescent="0.35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2">
        <v>41730</v>
      </c>
      <c r="N485">
        <v>4</v>
      </c>
      <c r="O485" t="s">
        <v>35</v>
      </c>
      <c r="P485">
        <v>2014</v>
      </c>
    </row>
    <row r="486" spans="1:16" x14ac:dyDescent="0.35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2">
        <v>41760</v>
      </c>
      <c r="N486">
        <v>5</v>
      </c>
      <c r="O486" t="s">
        <v>42</v>
      </c>
      <c r="P486">
        <v>2014</v>
      </c>
    </row>
    <row r="487" spans="1:16" x14ac:dyDescent="0.35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2">
        <v>41883</v>
      </c>
      <c r="N487">
        <v>9</v>
      </c>
      <c r="O487" t="s">
        <v>28</v>
      </c>
      <c r="P487">
        <v>2014</v>
      </c>
    </row>
    <row r="488" spans="1:16" x14ac:dyDescent="0.35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2">
        <v>41548</v>
      </c>
      <c r="N488">
        <v>10</v>
      </c>
      <c r="O488" t="s">
        <v>34</v>
      </c>
      <c r="P488">
        <v>2013</v>
      </c>
    </row>
    <row r="489" spans="1:16" x14ac:dyDescent="0.35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2">
        <v>41609</v>
      </c>
      <c r="N489">
        <v>12</v>
      </c>
      <c r="O489" t="s">
        <v>20</v>
      </c>
      <c r="P489">
        <v>2013</v>
      </c>
    </row>
    <row r="490" spans="1:16" x14ac:dyDescent="0.35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2">
        <v>41974</v>
      </c>
      <c r="N490">
        <v>12</v>
      </c>
      <c r="O490" t="s">
        <v>20</v>
      </c>
      <c r="P490">
        <v>2014</v>
      </c>
    </row>
    <row r="491" spans="1:16" x14ac:dyDescent="0.35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2">
        <v>41760</v>
      </c>
      <c r="N491">
        <v>5</v>
      </c>
      <c r="O491" t="s">
        <v>42</v>
      </c>
      <c r="P491">
        <v>2014</v>
      </c>
    </row>
    <row r="492" spans="1:16" x14ac:dyDescent="0.35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2">
        <v>41821</v>
      </c>
      <c r="N492">
        <v>7</v>
      </c>
      <c r="O492" t="s">
        <v>39</v>
      </c>
      <c r="P492">
        <v>2014</v>
      </c>
    </row>
    <row r="493" spans="1:16" x14ac:dyDescent="0.35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2">
        <v>41883</v>
      </c>
      <c r="N493">
        <v>9</v>
      </c>
      <c r="O493" t="s">
        <v>28</v>
      </c>
      <c r="P493">
        <v>2014</v>
      </c>
    </row>
    <row r="494" spans="1:16" x14ac:dyDescent="0.35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2">
        <v>41548</v>
      </c>
      <c r="N494">
        <v>10</v>
      </c>
      <c r="O494" t="s">
        <v>34</v>
      </c>
      <c r="P494">
        <v>2013</v>
      </c>
    </row>
    <row r="495" spans="1:16" x14ac:dyDescent="0.35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2">
        <v>41548</v>
      </c>
      <c r="N495">
        <v>10</v>
      </c>
      <c r="O495" t="s">
        <v>34</v>
      </c>
      <c r="P495">
        <v>2013</v>
      </c>
    </row>
    <row r="496" spans="1:16" x14ac:dyDescent="0.35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2">
        <v>41944</v>
      </c>
      <c r="N496">
        <v>11</v>
      </c>
      <c r="O496" t="s">
        <v>24</v>
      </c>
      <c r="P496">
        <v>2014</v>
      </c>
    </row>
    <row r="497" spans="1:16" x14ac:dyDescent="0.35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2">
        <v>41640</v>
      </c>
      <c r="N497">
        <v>1</v>
      </c>
      <c r="O497" t="s">
        <v>41</v>
      </c>
      <c r="P497">
        <v>2014</v>
      </c>
    </row>
    <row r="498" spans="1:16" x14ac:dyDescent="0.35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2">
        <v>41699</v>
      </c>
      <c r="N498">
        <v>3</v>
      </c>
      <c r="O498" t="s">
        <v>33</v>
      </c>
      <c r="P498">
        <v>2014</v>
      </c>
    </row>
    <row r="499" spans="1:16" x14ac:dyDescent="0.35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2">
        <v>41730</v>
      </c>
      <c r="N499">
        <v>4</v>
      </c>
      <c r="O499" t="s">
        <v>35</v>
      </c>
      <c r="P499">
        <v>2014</v>
      </c>
    </row>
    <row r="500" spans="1:16" x14ac:dyDescent="0.35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2">
        <v>41852</v>
      </c>
      <c r="N500">
        <v>8</v>
      </c>
      <c r="O500" t="s">
        <v>38</v>
      </c>
      <c r="P500">
        <v>2014</v>
      </c>
    </row>
    <row r="501" spans="1:16" x14ac:dyDescent="0.35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2">
        <v>41974</v>
      </c>
      <c r="N501">
        <v>12</v>
      </c>
      <c r="O501" t="s">
        <v>20</v>
      </c>
      <c r="P501">
        <v>2014</v>
      </c>
    </row>
    <row r="502" spans="1:16" x14ac:dyDescent="0.35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2">
        <v>41974</v>
      </c>
      <c r="N502">
        <v>12</v>
      </c>
      <c r="O502" t="s">
        <v>20</v>
      </c>
      <c r="P502">
        <v>2014</v>
      </c>
    </row>
    <row r="503" spans="1:16" x14ac:dyDescent="0.35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2">
        <v>41548</v>
      </c>
      <c r="N503">
        <v>10</v>
      </c>
      <c r="O503" t="s">
        <v>34</v>
      </c>
      <c r="P503">
        <v>2013</v>
      </c>
    </row>
    <row r="504" spans="1:16" x14ac:dyDescent="0.35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2">
        <v>41640</v>
      </c>
      <c r="N504">
        <v>1</v>
      </c>
      <c r="O504" t="s">
        <v>41</v>
      </c>
      <c r="P504">
        <v>2014</v>
      </c>
    </row>
    <row r="505" spans="1:16" x14ac:dyDescent="0.35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2">
        <v>41913</v>
      </c>
      <c r="N505">
        <v>10</v>
      </c>
      <c r="O505" t="s">
        <v>34</v>
      </c>
      <c r="P505">
        <v>2014</v>
      </c>
    </row>
    <row r="506" spans="1:16" x14ac:dyDescent="0.35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2">
        <v>41518</v>
      </c>
      <c r="N506">
        <v>9</v>
      </c>
      <c r="O506" t="s">
        <v>28</v>
      </c>
      <c r="P506">
        <v>2013</v>
      </c>
    </row>
    <row r="507" spans="1:16" x14ac:dyDescent="0.35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2">
        <v>41821</v>
      </c>
      <c r="N507">
        <v>7</v>
      </c>
      <c r="O507" t="s">
        <v>39</v>
      </c>
      <c r="P507">
        <v>2014</v>
      </c>
    </row>
    <row r="508" spans="1:16" x14ac:dyDescent="0.35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2">
        <v>41913</v>
      </c>
      <c r="N508">
        <v>10</v>
      </c>
      <c r="O508" t="s">
        <v>34</v>
      </c>
      <c r="P508">
        <v>2014</v>
      </c>
    </row>
    <row r="509" spans="1:16" x14ac:dyDescent="0.35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2">
        <v>41671</v>
      </c>
      <c r="N509">
        <v>2</v>
      </c>
      <c r="O509" t="s">
        <v>30</v>
      </c>
      <c r="P509">
        <v>2014</v>
      </c>
    </row>
    <row r="510" spans="1:16" x14ac:dyDescent="0.35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2">
        <v>41821</v>
      </c>
      <c r="N510">
        <v>7</v>
      </c>
      <c r="O510" t="s">
        <v>39</v>
      </c>
      <c r="P510">
        <v>2014</v>
      </c>
    </row>
    <row r="511" spans="1:16" x14ac:dyDescent="0.35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2">
        <v>41913</v>
      </c>
      <c r="N511">
        <v>10</v>
      </c>
      <c r="O511" t="s">
        <v>34</v>
      </c>
      <c r="P511">
        <v>2014</v>
      </c>
    </row>
    <row r="512" spans="1:16" x14ac:dyDescent="0.35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2">
        <v>41579</v>
      </c>
      <c r="N512">
        <v>11</v>
      </c>
      <c r="O512" t="s">
        <v>24</v>
      </c>
      <c r="P512">
        <v>2013</v>
      </c>
    </row>
    <row r="513" spans="1:16" x14ac:dyDescent="0.35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20</v>
      </c>
      <c r="P513">
        <v>2014</v>
      </c>
    </row>
    <row r="514" spans="1:16" x14ac:dyDescent="0.35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2">
        <v>41518</v>
      </c>
      <c r="N514">
        <v>9</v>
      </c>
      <c r="O514" t="s">
        <v>28</v>
      </c>
      <c r="P514">
        <v>2013</v>
      </c>
    </row>
    <row r="515" spans="1:16" x14ac:dyDescent="0.35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2">
        <v>41640</v>
      </c>
      <c r="N515">
        <v>1</v>
      </c>
      <c r="O515" t="s">
        <v>41</v>
      </c>
      <c r="P515">
        <v>2014</v>
      </c>
    </row>
    <row r="516" spans="1:16" x14ac:dyDescent="0.35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2">
        <v>41640</v>
      </c>
      <c r="N516">
        <v>1</v>
      </c>
      <c r="O516" t="s">
        <v>41</v>
      </c>
      <c r="P516">
        <v>2014</v>
      </c>
    </row>
    <row r="517" spans="1:16" x14ac:dyDescent="0.35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2">
        <v>41640</v>
      </c>
      <c r="N517">
        <v>1</v>
      </c>
      <c r="O517" t="s">
        <v>41</v>
      </c>
      <c r="P517">
        <v>2014</v>
      </c>
    </row>
    <row r="518" spans="1:16" x14ac:dyDescent="0.35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2">
        <v>41760</v>
      </c>
      <c r="N518">
        <v>5</v>
      </c>
      <c r="O518" t="s">
        <v>42</v>
      </c>
      <c r="P518">
        <v>2014</v>
      </c>
    </row>
    <row r="519" spans="1:16" x14ac:dyDescent="0.35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2">
        <v>41518</v>
      </c>
      <c r="N519">
        <v>9</v>
      </c>
      <c r="O519" t="s">
        <v>28</v>
      </c>
      <c r="P519">
        <v>2013</v>
      </c>
    </row>
    <row r="520" spans="1:16" x14ac:dyDescent="0.35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2">
        <v>41974</v>
      </c>
      <c r="N520">
        <v>12</v>
      </c>
      <c r="O520" t="s">
        <v>20</v>
      </c>
      <c r="P520">
        <v>2014</v>
      </c>
    </row>
    <row r="521" spans="1:16" x14ac:dyDescent="0.35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2">
        <v>41518</v>
      </c>
      <c r="N521">
        <v>9</v>
      </c>
      <c r="O521" t="s">
        <v>28</v>
      </c>
      <c r="P521">
        <v>2013</v>
      </c>
    </row>
    <row r="522" spans="1:16" x14ac:dyDescent="0.35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2">
        <v>41913</v>
      </c>
      <c r="N522">
        <v>10</v>
      </c>
      <c r="O522" t="s">
        <v>34</v>
      </c>
      <c r="P522">
        <v>2014</v>
      </c>
    </row>
    <row r="523" spans="1:16" x14ac:dyDescent="0.35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2">
        <v>41944</v>
      </c>
      <c r="N523">
        <v>11</v>
      </c>
      <c r="O523" t="s">
        <v>24</v>
      </c>
      <c r="P523">
        <v>2014</v>
      </c>
    </row>
    <row r="524" spans="1:16" x14ac:dyDescent="0.35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2">
        <v>41699</v>
      </c>
      <c r="N524">
        <v>3</v>
      </c>
      <c r="O524" t="s">
        <v>33</v>
      </c>
      <c r="P524">
        <v>2014</v>
      </c>
    </row>
    <row r="525" spans="1:16" x14ac:dyDescent="0.35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2">
        <v>41730</v>
      </c>
      <c r="N525">
        <v>4</v>
      </c>
      <c r="O525" t="s">
        <v>35</v>
      </c>
      <c r="P525">
        <v>2014</v>
      </c>
    </row>
    <row r="526" spans="1:16" x14ac:dyDescent="0.35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2">
        <v>41609</v>
      </c>
      <c r="N526">
        <v>12</v>
      </c>
      <c r="O526" t="s">
        <v>20</v>
      </c>
      <c r="P526">
        <v>2013</v>
      </c>
    </row>
    <row r="527" spans="1:16" x14ac:dyDescent="0.35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2">
        <v>41760</v>
      </c>
      <c r="N527">
        <v>5</v>
      </c>
      <c r="O527" t="s">
        <v>42</v>
      </c>
      <c r="P527">
        <v>2014</v>
      </c>
    </row>
    <row r="528" spans="1:16" x14ac:dyDescent="0.35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2">
        <v>41821</v>
      </c>
      <c r="N528">
        <v>7</v>
      </c>
      <c r="O528" t="s">
        <v>39</v>
      </c>
      <c r="P528">
        <v>2014</v>
      </c>
    </row>
    <row r="529" spans="1:16" x14ac:dyDescent="0.35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2">
        <v>41944</v>
      </c>
      <c r="N529">
        <v>11</v>
      </c>
      <c r="O529" t="s">
        <v>24</v>
      </c>
      <c r="P529">
        <v>2014</v>
      </c>
    </row>
    <row r="530" spans="1:16" x14ac:dyDescent="0.35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2">
        <v>41579</v>
      </c>
      <c r="N530">
        <v>11</v>
      </c>
      <c r="O530" t="s">
        <v>24</v>
      </c>
      <c r="P530">
        <v>2013</v>
      </c>
    </row>
    <row r="531" spans="1:16" x14ac:dyDescent="0.35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2">
        <v>41760</v>
      </c>
      <c r="N531">
        <v>5</v>
      </c>
      <c r="O531" t="s">
        <v>42</v>
      </c>
      <c r="P531">
        <v>2014</v>
      </c>
    </row>
    <row r="532" spans="1:16" x14ac:dyDescent="0.35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2">
        <v>41518</v>
      </c>
      <c r="N532">
        <v>9</v>
      </c>
      <c r="O532" t="s">
        <v>28</v>
      </c>
      <c r="P532">
        <v>2013</v>
      </c>
    </row>
    <row r="533" spans="1:16" x14ac:dyDescent="0.35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2">
        <v>41791</v>
      </c>
      <c r="N533">
        <v>6</v>
      </c>
      <c r="O533" t="s">
        <v>22</v>
      </c>
      <c r="P533">
        <v>2014</v>
      </c>
    </row>
    <row r="534" spans="1:16" x14ac:dyDescent="0.35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2">
        <v>41791</v>
      </c>
      <c r="N534">
        <v>6</v>
      </c>
      <c r="O534" t="s">
        <v>22</v>
      </c>
      <c r="P534">
        <v>2014</v>
      </c>
    </row>
    <row r="535" spans="1:16" x14ac:dyDescent="0.35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2">
        <v>41791</v>
      </c>
      <c r="N535">
        <v>6</v>
      </c>
      <c r="O535" t="s">
        <v>22</v>
      </c>
      <c r="P535">
        <v>2014</v>
      </c>
    </row>
    <row r="536" spans="1:16" x14ac:dyDescent="0.35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2">
        <v>41640</v>
      </c>
      <c r="N536">
        <v>1</v>
      </c>
      <c r="O536" t="s">
        <v>41</v>
      </c>
      <c r="P536">
        <v>2014</v>
      </c>
    </row>
    <row r="537" spans="1:16" x14ac:dyDescent="0.35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2">
        <v>41791</v>
      </c>
      <c r="N537">
        <v>6</v>
      </c>
      <c r="O537" t="s">
        <v>22</v>
      </c>
      <c r="P537">
        <v>2014</v>
      </c>
    </row>
    <row r="538" spans="1:16" x14ac:dyDescent="0.35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2">
        <v>41518</v>
      </c>
      <c r="N538">
        <v>9</v>
      </c>
      <c r="O538" t="s">
        <v>28</v>
      </c>
      <c r="P538">
        <v>2013</v>
      </c>
    </row>
    <row r="539" spans="1:16" x14ac:dyDescent="0.35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2">
        <v>41913</v>
      </c>
      <c r="N539">
        <v>10</v>
      </c>
      <c r="O539" t="s">
        <v>34</v>
      </c>
      <c r="P539">
        <v>2014</v>
      </c>
    </row>
    <row r="540" spans="1:16" x14ac:dyDescent="0.35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2">
        <v>41579</v>
      </c>
      <c r="N540">
        <v>11</v>
      </c>
      <c r="O540" t="s">
        <v>24</v>
      </c>
      <c r="P540">
        <v>2013</v>
      </c>
    </row>
    <row r="541" spans="1:16" x14ac:dyDescent="0.35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2">
        <v>41974</v>
      </c>
      <c r="N541">
        <v>12</v>
      </c>
      <c r="O541" t="s">
        <v>20</v>
      </c>
      <c r="P541">
        <v>2014</v>
      </c>
    </row>
    <row r="542" spans="1:16" x14ac:dyDescent="0.35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2">
        <v>41791</v>
      </c>
      <c r="N542">
        <v>6</v>
      </c>
      <c r="O542" t="s">
        <v>22</v>
      </c>
      <c r="P542">
        <v>2014</v>
      </c>
    </row>
    <row r="543" spans="1:16" x14ac:dyDescent="0.35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2">
        <v>41913</v>
      </c>
      <c r="N543">
        <v>10</v>
      </c>
      <c r="O543" t="s">
        <v>34</v>
      </c>
      <c r="P543">
        <v>2014</v>
      </c>
    </row>
    <row r="544" spans="1:16" x14ac:dyDescent="0.35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2">
        <v>41640</v>
      </c>
      <c r="N544">
        <v>1</v>
      </c>
      <c r="O544" t="s">
        <v>41</v>
      </c>
      <c r="P544">
        <v>2014</v>
      </c>
    </row>
    <row r="545" spans="1:16" x14ac:dyDescent="0.35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2">
        <v>41913</v>
      </c>
      <c r="N545">
        <v>10</v>
      </c>
      <c r="O545" t="s">
        <v>34</v>
      </c>
      <c r="P545">
        <v>2014</v>
      </c>
    </row>
    <row r="546" spans="1:16" x14ac:dyDescent="0.35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2">
        <v>41609</v>
      </c>
      <c r="N546">
        <v>12</v>
      </c>
      <c r="O546" t="s">
        <v>20</v>
      </c>
      <c r="P546">
        <v>2013</v>
      </c>
    </row>
    <row r="547" spans="1:16" x14ac:dyDescent="0.35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2">
        <v>41913</v>
      </c>
      <c r="N547">
        <v>10</v>
      </c>
      <c r="O547" t="s">
        <v>34</v>
      </c>
      <c r="P547">
        <v>2014</v>
      </c>
    </row>
    <row r="548" spans="1:16" x14ac:dyDescent="0.35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2">
        <v>41609</v>
      </c>
      <c r="N548">
        <v>12</v>
      </c>
      <c r="O548" t="s">
        <v>20</v>
      </c>
      <c r="P548">
        <v>2013</v>
      </c>
    </row>
    <row r="549" spans="1:16" x14ac:dyDescent="0.35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2">
        <v>41821</v>
      </c>
      <c r="N549">
        <v>7</v>
      </c>
      <c r="O549" t="s">
        <v>39</v>
      </c>
      <c r="P549">
        <v>2014</v>
      </c>
    </row>
    <row r="550" spans="1:16" x14ac:dyDescent="0.35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2">
        <v>41518</v>
      </c>
      <c r="N550">
        <v>9</v>
      </c>
      <c r="O550" t="s">
        <v>28</v>
      </c>
      <c r="P550">
        <v>2013</v>
      </c>
    </row>
    <row r="551" spans="1:16" x14ac:dyDescent="0.35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2">
        <v>41913</v>
      </c>
      <c r="N551">
        <v>10</v>
      </c>
      <c r="O551" t="s">
        <v>34</v>
      </c>
      <c r="P551">
        <v>2014</v>
      </c>
    </row>
    <row r="552" spans="1:16" x14ac:dyDescent="0.35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2">
        <v>41913</v>
      </c>
      <c r="N552">
        <v>10</v>
      </c>
      <c r="O552" t="s">
        <v>34</v>
      </c>
      <c r="P552">
        <v>2014</v>
      </c>
    </row>
    <row r="553" spans="1:16" x14ac:dyDescent="0.35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2">
        <v>41944</v>
      </c>
      <c r="N553">
        <v>11</v>
      </c>
      <c r="O553" t="s">
        <v>24</v>
      </c>
      <c r="P553">
        <v>2014</v>
      </c>
    </row>
    <row r="554" spans="1:16" x14ac:dyDescent="0.35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2">
        <v>41974</v>
      </c>
      <c r="N554">
        <v>12</v>
      </c>
      <c r="O554" t="s">
        <v>20</v>
      </c>
      <c r="P554">
        <v>2014</v>
      </c>
    </row>
    <row r="555" spans="1:16" x14ac:dyDescent="0.35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2">
        <v>41609</v>
      </c>
      <c r="N555">
        <v>12</v>
      </c>
      <c r="O555" t="s">
        <v>20</v>
      </c>
      <c r="P555">
        <v>2013</v>
      </c>
    </row>
    <row r="556" spans="1:16" x14ac:dyDescent="0.35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2">
        <v>41974</v>
      </c>
      <c r="N556">
        <v>12</v>
      </c>
      <c r="O556" t="s">
        <v>20</v>
      </c>
      <c r="P556">
        <v>2014</v>
      </c>
    </row>
    <row r="557" spans="1:16" x14ac:dyDescent="0.35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2">
        <v>41671</v>
      </c>
      <c r="N557">
        <v>2</v>
      </c>
      <c r="O557" t="s">
        <v>30</v>
      </c>
      <c r="P557">
        <v>2014</v>
      </c>
    </row>
    <row r="558" spans="1:16" x14ac:dyDescent="0.35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2">
        <v>41821</v>
      </c>
      <c r="N558">
        <v>7</v>
      </c>
      <c r="O558" t="s">
        <v>39</v>
      </c>
      <c r="P558">
        <v>2014</v>
      </c>
    </row>
    <row r="559" spans="1:16" x14ac:dyDescent="0.35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2">
        <v>41548</v>
      </c>
      <c r="N559">
        <v>10</v>
      </c>
      <c r="O559" t="s">
        <v>34</v>
      </c>
      <c r="P559">
        <v>2013</v>
      </c>
    </row>
    <row r="560" spans="1:16" x14ac:dyDescent="0.35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2">
        <v>41579</v>
      </c>
      <c r="N560">
        <v>11</v>
      </c>
      <c r="O560" t="s">
        <v>24</v>
      </c>
      <c r="P560">
        <v>2013</v>
      </c>
    </row>
    <row r="561" spans="1:16" x14ac:dyDescent="0.35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2">
        <v>41852</v>
      </c>
      <c r="N561">
        <v>8</v>
      </c>
      <c r="O561" t="s">
        <v>38</v>
      </c>
      <c r="P561">
        <v>2014</v>
      </c>
    </row>
    <row r="562" spans="1:16" x14ac:dyDescent="0.35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2">
        <v>41548</v>
      </c>
      <c r="N562">
        <v>10</v>
      </c>
      <c r="O562" t="s">
        <v>34</v>
      </c>
      <c r="P562">
        <v>2013</v>
      </c>
    </row>
    <row r="563" spans="1:16" x14ac:dyDescent="0.35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2">
        <v>41913</v>
      </c>
      <c r="N563">
        <v>10</v>
      </c>
      <c r="O563" t="s">
        <v>34</v>
      </c>
      <c r="P563">
        <v>2014</v>
      </c>
    </row>
    <row r="564" spans="1:16" x14ac:dyDescent="0.35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2">
        <v>41913</v>
      </c>
      <c r="N564">
        <v>10</v>
      </c>
      <c r="O564" t="s">
        <v>34</v>
      </c>
      <c r="P564">
        <v>2014</v>
      </c>
    </row>
    <row r="565" spans="1:16" x14ac:dyDescent="0.35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2">
        <v>41699</v>
      </c>
      <c r="N565">
        <v>3</v>
      </c>
      <c r="O565" t="s">
        <v>33</v>
      </c>
      <c r="P565">
        <v>2014</v>
      </c>
    </row>
    <row r="566" spans="1:16" x14ac:dyDescent="0.35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2">
        <v>41760</v>
      </c>
      <c r="N566">
        <v>5</v>
      </c>
      <c r="O566" t="s">
        <v>42</v>
      </c>
      <c r="P566">
        <v>2014</v>
      </c>
    </row>
    <row r="567" spans="1:16" x14ac:dyDescent="0.35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2">
        <v>41852</v>
      </c>
      <c r="N567">
        <v>8</v>
      </c>
      <c r="O567" t="s">
        <v>38</v>
      </c>
      <c r="P567">
        <v>2014</v>
      </c>
    </row>
    <row r="568" spans="1:16" x14ac:dyDescent="0.35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2">
        <v>41548</v>
      </c>
      <c r="N568">
        <v>10</v>
      </c>
      <c r="O568" t="s">
        <v>34</v>
      </c>
      <c r="P568">
        <v>2013</v>
      </c>
    </row>
    <row r="569" spans="1:16" x14ac:dyDescent="0.35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2">
        <v>41913</v>
      </c>
      <c r="N569">
        <v>10</v>
      </c>
      <c r="O569" t="s">
        <v>34</v>
      </c>
      <c r="P569">
        <v>2014</v>
      </c>
    </row>
    <row r="570" spans="1:16" x14ac:dyDescent="0.35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2">
        <v>41579</v>
      </c>
      <c r="N570">
        <v>11</v>
      </c>
      <c r="O570" t="s">
        <v>24</v>
      </c>
      <c r="P570">
        <v>2013</v>
      </c>
    </row>
    <row r="571" spans="1:16" x14ac:dyDescent="0.35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2">
        <v>41852</v>
      </c>
      <c r="N571">
        <v>8</v>
      </c>
      <c r="O571" t="s">
        <v>38</v>
      </c>
      <c r="P571">
        <v>2014</v>
      </c>
    </row>
    <row r="572" spans="1:16" x14ac:dyDescent="0.35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2">
        <v>41852</v>
      </c>
      <c r="N572">
        <v>8</v>
      </c>
      <c r="O572" t="s">
        <v>38</v>
      </c>
      <c r="P572">
        <v>2014</v>
      </c>
    </row>
    <row r="573" spans="1:16" x14ac:dyDescent="0.35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2">
        <v>41913</v>
      </c>
      <c r="N573">
        <v>10</v>
      </c>
      <c r="O573" t="s">
        <v>34</v>
      </c>
      <c r="P573">
        <v>2014</v>
      </c>
    </row>
    <row r="574" spans="1:16" x14ac:dyDescent="0.35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2">
        <v>41913</v>
      </c>
      <c r="N574">
        <v>10</v>
      </c>
      <c r="O574" t="s">
        <v>34</v>
      </c>
      <c r="P574">
        <v>2014</v>
      </c>
    </row>
    <row r="575" spans="1:16" x14ac:dyDescent="0.35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2">
        <v>41699</v>
      </c>
      <c r="N575">
        <v>3</v>
      </c>
      <c r="O575" t="s">
        <v>33</v>
      </c>
      <c r="P575">
        <v>2014</v>
      </c>
    </row>
    <row r="576" spans="1:16" x14ac:dyDescent="0.35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2">
        <v>41760</v>
      </c>
      <c r="N576">
        <v>5</v>
      </c>
      <c r="O576" t="s">
        <v>42</v>
      </c>
      <c r="P576">
        <v>2014</v>
      </c>
    </row>
    <row r="577" spans="1:16" x14ac:dyDescent="0.35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2">
        <v>41883</v>
      </c>
      <c r="N577">
        <v>9</v>
      </c>
      <c r="O577" t="s">
        <v>28</v>
      </c>
      <c r="P577">
        <v>2014</v>
      </c>
    </row>
    <row r="578" spans="1:16" x14ac:dyDescent="0.35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2">
        <v>41579</v>
      </c>
      <c r="N578">
        <v>11</v>
      </c>
      <c r="O578" t="s">
        <v>24</v>
      </c>
      <c r="P578">
        <v>2013</v>
      </c>
    </row>
    <row r="579" spans="1:16" x14ac:dyDescent="0.35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2">
        <v>41609</v>
      </c>
      <c r="N579">
        <v>12</v>
      </c>
      <c r="O579" t="s">
        <v>20</v>
      </c>
      <c r="P579">
        <v>2013</v>
      </c>
    </row>
    <row r="580" spans="1:16" x14ac:dyDescent="0.35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2">
        <v>41974</v>
      </c>
      <c r="N580">
        <v>12</v>
      </c>
      <c r="O580" t="s">
        <v>20</v>
      </c>
      <c r="P580">
        <v>2014</v>
      </c>
    </row>
    <row r="581" spans="1:16" x14ac:dyDescent="0.35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2">
        <v>41821</v>
      </c>
      <c r="N581">
        <v>7</v>
      </c>
      <c r="O581" t="s">
        <v>39</v>
      </c>
      <c r="P581">
        <v>2014</v>
      </c>
    </row>
    <row r="582" spans="1:16" x14ac:dyDescent="0.35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2">
        <v>41913</v>
      </c>
      <c r="N582">
        <v>10</v>
      </c>
      <c r="O582" t="s">
        <v>34</v>
      </c>
      <c r="P582">
        <v>2014</v>
      </c>
    </row>
    <row r="583" spans="1:16" x14ac:dyDescent="0.35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2">
        <v>41579</v>
      </c>
      <c r="N583">
        <v>11</v>
      </c>
      <c r="O583" t="s">
        <v>24</v>
      </c>
      <c r="P583">
        <v>2013</v>
      </c>
    </row>
    <row r="584" spans="1:16" x14ac:dyDescent="0.35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2">
        <v>41944</v>
      </c>
      <c r="N584">
        <v>11</v>
      </c>
      <c r="O584" t="s">
        <v>24</v>
      </c>
      <c r="P584">
        <v>2014</v>
      </c>
    </row>
    <row r="585" spans="1:16" x14ac:dyDescent="0.35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2">
        <v>41699</v>
      </c>
      <c r="N585">
        <v>3</v>
      </c>
      <c r="O585" t="s">
        <v>33</v>
      </c>
      <c r="P585">
        <v>2014</v>
      </c>
    </row>
    <row r="586" spans="1:16" x14ac:dyDescent="0.35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2">
        <v>41913</v>
      </c>
      <c r="N586">
        <v>10</v>
      </c>
      <c r="O586" t="s">
        <v>34</v>
      </c>
      <c r="P586">
        <v>2014</v>
      </c>
    </row>
    <row r="587" spans="1:16" x14ac:dyDescent="0.35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2">
        <v>41760</v>
      </c>
      <c r="N587">
        <v>5</v>
      </c>
      <c r="O587" t="s">
        <v>42</v>
      </c>
      <c r="P587">
        <v>2014</v>
      </c>
    </row>
    <row r="588" spans="1:16" x14ac:dyDescent="0.35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2">
        <v>41671</v>
      </c>
      <c r="N588">
        <v>2</v>
      </c>
      <c r="O588" t="s">
        <v>30</v>
      </c>
      <c r="P588">
        <v>2014</v>
      </c>
    </row>
    <row r="589" spans="1:16" x14ac:dyDescent="0.35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2">
        <v>41791</v>
      </c>
      <c r="N589">
        <v>6</v>
      </c>
      <c r="O589" t="s">
        <v>22</v>
      </c>
      <c r="P589">
        <v>2014</v>
      </c>
    </row>
    <row r="590" spans="1:16" x14ac:dyDescent="0.35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2">
        <v>41821</v>
      </c>
      <c r="N590">
        <v>7</v>
      </c>
      <c r="O590" t="s">
        <v>39</v>
      </c>
      <c r="P590">
        <v>2014</v>
      </c>
    </row>
    <row r="591" spans="1:16" x14ac:dyDescent="0.35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2">
        <v>41518</v>
      </c>
      <c r="N591">
        <v>9</v>
      </c>
      <c r="O591" t="s">
        <v>28</v>
      </c>
      <c r="P591">
        <v>2013</v>
      </c>
    </row>
    <row r="592" spans="1:16" x14ac:dyDescent="0.35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2">
        <v>41518</v>
      </c>
      <c r="N592">
        <v>9</v>
      </c>
      <c r="O592" t="s">
        <v>28</v>
      </c>
      <c r="P592">
        <v>2013</v>
      </c>
    </row>
    <row r="593" spans="1:16" x14ac:dyDescent="0.35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2">
        <v>41883</v>
      </c>
      <c r="N593">
        <v>9</v>
      </c>
      <c r="O593" t="s">
        <v>28</v>
      </c>
      <c r="P593">
        <v>2014</v>
      </c>
    </row>
    <row r="594" spans="1:16" x14ac:dyDescent="0.35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2">
        <v>41579</v>
      </c>
      <c r="N594">
        <v>11</v>
      </c>
      <c r="O594" t="s">
        <v>24</v>
      </c>
      <c r="P594">
        <v>2013</v>
      </c>
    </row>
    <row r="595" spans="1:16" x14ac:dyDescent="0.35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2">
        <v>41609</v>
      </c>
      <c r="N595">
        <v>12</v>
      </c>
      <c r="O595" t="s">
        <v>20</v>
      </c>
      <c r="P595">
        <v>2013</v>
      </c>
    </row>
    <row r="596" spans="1:16" x14ac:dyDescent="0.35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2">
        <v>41671</v>
      </c>
      <c r="N596">
        <v>2</v>
      </c>
      <c r="O596" t="s">
        <v>30</v>
      </c>
      <c r="P596">
        <v>2014</v>
      </c>
    </row>
    <row r="597" spans="1:16" x14ac:dyDescent="0.35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2">
        <v>41671</v>
      </c>
      <c r="N597">
        <v>2</v>
      </c>
      <c r="O597" t="s">
        <v>30</v>
      </c>
      <c r="P597">
        <v>2014</v>
      </c>
    </row>
    <row r="598" spans="1:16" x14ac:dyDescent="0.35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2">
        <v>41791</v>
      </c>
      <c r="N598">
        <v>6</v>
      </c>
      <c r="O598" t="s">
        <v>22</v>
      </c>
      <c r="P598">
        <v>2014</v>
      </c>
    </row>
    <row r="599" spans="1:16" x14ac:dyDescent="0.35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2">
        <v>41791</v>
      </c>
      <c r="N599">
        <v>6</v>
      </c>
      <c r="O599" t="s">
        <v>22</v>
      </c>
      <c r="P599">
        <v>2014</v>
      </c>
    </row>
    <row r="600" spans="1:16" x14ac:dyDescent="0.35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2">
        <v>41821</v>
      </c>
      <c r="N600">
        <v>7</v>
      </c>
      <c r="O600" t="s">
        <v>39</v>
      </c>
      <c r="P600">
        <v>2014</v>
      </c>
    </row>
    <row r="601" spans="1:16" x14ac:dyDescent="0.35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2">
        <v>41883</v>
      </c>
      <c r="N601">
        <v>9</v>
      </c>
      <c r="O601" t="s">
        <v>28</v>
      </c>
      <c r="P601">
        <v>2014</v>
      </c>
    </row>
    <row r="602" spans="1:16" x14ac:dyDescent="0.35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2">
        <v>41548</v>
      </c>
      <c r="N602">
        <v>10</v>
      </c>
      <c r="O602" t="s">
        <v>34</v>
      </c>
      <c r="P602">
        <v>2013</v>
      </c>
    </row>
    <row r="603" spans="1:16" x14ac:dyDescent="0.35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2">
        <v>41944</v>
      </c>
      <c r="N603">
        <v>11</v>
      </c>
      <c r="O603" t="s">
        <v>24</v>
      </c>
      <c r="P603">
        <v>2014</v>
      </c>
    </row>
    <row r="604" spans="1:16" x14ac:dyDescent="0.35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2">
        <v>41671</v>
      </c>
      <c r="N604">
        <v>2</v>
      </c>
      <c r="O604" t="s">
        <v>30</v>
      </c>
      <c r="P604">
        <v>2014</v>
      </c>
    </row>
    <row r="605" spans="1:16" x14ac:dyDescent="0.35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2">
        <v>41760</v>
      </c>
      <c r="N605">
        <v>5</v>
      </c>
      <c r="O605" t="s">
        <v>42</v>
      </c>
      <c r="P605">
        <v>2014</v>
      </c>
    </row>
    <row r="606" spans="1:16" x14ac:dyDescent="0.35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2">
        <v>41760</v>
      </c>
      <c r="N606">
        <v>5</v>
      </c>
      <c r="O606" t="s">
        <v>42</v>
      </c>
      <c r="P606">
        <v>2014</v>
      </c>
    </row>
    <row r="607" spans="1:16" x14ac:dyDescent="0.35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2">
        <v>41791</v>
      </c>
      <c r="N607">
        <v>6</v>
      </c>
      <c r="O607" t="s">
        <v>22</v>
      </c>
      <c r="P607">
        <v>2014</v>
      </c>
    </row>
    <row r="608" spans="1:16" x14ac:dyDescent="0.35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2">
        <v>41791</v>
      </c>
      <c r="N608">
        <v>6</v>
      </c>
      <c r="O608" t="s">
        <v>22</v>
      </c>
      <c r="P608">
        <v>2014</v>
      </c>
    </row>
    <row r="609" spans="1:16" x14ac:dyDescent="0.35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2">
        <v>41913</v>
      </c>
      <c r="N609">
        <v>10</v>
      </c>
      <c r="O609" t="s">
        <v>34</v>
      </c>
      <c r="P609">
        <v>2014</v>
      </c>
    </row>
    <row r="610" spans="1:16" x14ac:dyDescent="0.35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2">
        <v>41548</v>
      </c>
      <c r="N610">
        <v>10</v>
      </c>
      <c r="O610" t="s">
        <v>34</v>
      </c>
      <c r="P610">
        <v>2013</v>
      </c>
    </row>
    <row r="611" spans="1:16" x14ac:dyDescent="0.35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2">
        <v>41548</v>
      </c>
      <c r="N611">
        <v>10</v>
      </c>
      <c r="O611" t="s">
        <v>34</v>
      </c>
      <c r="P611">
        <v>2013</v>
      </c>
    </row>
    <row r="612" spans="1:16" x14ac:dyDescent="0.35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2">
        <v>41579</v>
      </c>
      <c r="N612">
        <v>11</v>
      </c>
      <c r="O612" t="s">
        <v>24</v>
      </c>
      <c r="P612">
        <v>2013</v>
      </c>
    </row>
    <row r="613" spans="1:16" x14ac:dyDescent="0.35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2">
        <v>41974</v>
      </c>
      <c r="N613">
        <v>12</v>
      </c>
      <c r="O613" t="s">
        <v>20</v>
      </c>
      <c r="P613">
        <v>2014</v>
      </c>
    </row>
    <row r="614" spans="1:16" x14ac:dyDescent="0.35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2">
        <v>41974</v>
      </c>
      <c r="N614">
        <v>12</v>
      </c>
      <c r="O614" t="s">
        <v>20</v>
      </c>
      <c r="P614">
        <v>2014</v>
      </c>
    </row>
    <row r="615" spans="1:16" x14ac:dyDescent="0.35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2">
        <v>41609</v>
      </c>
      <c r="N615">
        <v>12</v>
      </c>
      <c r="O615" t="s">
        <v>20</v>
      </c>
      <c r="P615">
        <v>2013</v>
      </c>
    </row>
    <row r="616" spans="1:16" x14ac:dyDescent="0.35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2">
        <v>41974</v>
      </c>
      <c r="N616">
        <v>12</v>
      </c>
      <c r="O616" t="s">
        <v>20</v>
      </c>
      <c r="P616">
        <v>2014</v>
      </c>
    </row>
    <row r="617" spans="1:16" x14ac:dyDescent="0.35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2">
        <v>41974</v>
      </c>
      <c r="N617">
        <v>12</v>
      </c>
      <c r="O617" t="s">
        <v>20</v>
      </c>
      <c r="P617">
        <v>2014</v>
      </c>
    </row>
    <row r="618" spans="1:16" x14ac:dyDescent="0.35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2">
        <v>41640</v>
      </c>
      <c r="N618">
        <v>1</v>
      </c>
      <c r="O618" t="s">
        <v>41</v>
      </c>
      <c r="P618">
        <v>2014</v>
      </c>
    </row>
    <row r="619" spans="1:16" x14ac:dyDescent="0.35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2">
        <v>41699</v>
      </c>
      <c r="N619">
        <v>3</v>
      </c>
      <c r="O619" t="s">
        <v>33</v>
      </c>
      <c r="P619">
        <v>2014</v>
      </c>
    </row>
    <row r="620" spans="1:16" x14ac:dyDescent="0.35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2">
        <v>41791</v>
      </c>
      <c r="N620">
        <v>6</v>
      </c>
      <c r="O620" t="s">
        <v>22</v>
      </c>
      <c r="P620">
        <v>2014</v>
      </c>
    </row>
    <row r="621" spans="1:16" x14ac:dyDescent="0.35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2">
        <v>41791</v>
      </c>
      <c r="N621">
        <v>6</v>
      </c>
      <c r="O621" t="s">
        <v>22</v>
      </c>
      <c r="P621">
        <v>2014</v>
      </c>
    </row>
    <row r="622" spans="1:16" x14ac:dyDescent="0.35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2">
        <v>41791</v>
      </c>
      <c r="N622">
        <v>6</v>
      </c>
      <c r="O622" t="s">
        <v>22</v>
      </c>
      <c r="P622">
        <v>2014</v>
      </c>
    </row>
    <row r="623" spans="1:16" x14ac:dyDescent="0.35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2">
        <v>41821</v>
      </c>
      <c r="N623">
        <v>7</v>
      </c>
      <c r="O623" t="s">
        <v>39</v>
      </c>
      <c r="P623">
        <v>2014</v>
      </c>
    </row>
    <row r="624" spans="1:16" x14ac:dyDescent="0.35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2">
        <v>41913</v>
      </c>
      <c r="N624">
        <v>10</v>
      </c>
      <c r="O624" t="s">
        <v>34</v>
      </c>
      <c r="P624">
        <v>2014</v>
      </c>
    </row>
    <row r="625" spans="1:16" x14ac:dyDescent="0.35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2">
        <v>41548</v>
      </c>
      <c r="N625">
        <v>10</v>
      </c>
      <c r="O625" t="s">
        <v>34</v>
      </c>
      <c r="P625">
        <v>2013</v>
      </c>
    </row>
    <row r="626" spans="1:16" x14ac:dyDescent="0.35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2">
        <v>41974</v>
      </c>
      <c r="N626">
        <v>12</v>
      </c>
      <c r="O626" t="s">
        <v>20</v>
      </c>
      <c r="P626">
        <v>2014</v>
      </c>
    </row>
    <row r="627" spans="1:16" x14ac:dyDescent="0.35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2">
        <v>41974</v>
      </c>
      <c r="N627">
        <v>12</v>
      </c>
      <c r="O627" t="s">
        <v>20</v>
      </c>
      <c r="P627">
        <v>2014</v>
      </c>
    </row>
    <row r="628" spans="1:16" x14ac:dyDescent="0.35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2">
        <v>41913</v>
      </c>
      <c r="N628">
        <v>10</v>
      </c>
      <c r="O628" t="s">
        <v>34</v>
      </c>
      <c r="P628">
        <v>2014</v>
      </c>
    </row>
    <row r="629" spans="1:16" x14ac:dyDescent="0.35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2">
        <v>41609</v>
      </c>
      <c r="N629">
        <v>12</v>
      </c>
      <c r="O629" t="s">
        <v>20</v>
      </c>
      <c r="P629">
        <v>2013</v>
      </c>
    </row>
    <row r="630" spans="1:16" x14ac:dyDescent="0.35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2">
        <v>41699</v>
      </c>
      <c r="N630">
        <v>3</v>
      </c>
      <c r="O630" t="s">
        <v>33</v>
      </c>
      <c r="P630">
        <v>2014</v>
      </c>
    </row>
    <row r="631" spans="1:16" x14ac:dyDescent="0.35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2">
        <v>41730</v>
      </c>
      <c r="N631">
        <v>4</v>
      </c>
      <c r="O631" t="s">
        <v>35</v>
      </c>
      <c r="P631">
        <v>2014</v>
      </c>
    </row>
    <row r="632" spans="1:16" x14ac:dyDescent="0.35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2">
        <v>41760</v>
      </c>
      <c r="N632">
        <v>5</v>
      </c>
      <c r="O632" t="s">
        <v>42</v>
      </c>
      <c r="P632">
        <v>2014</v>
      </c>
    </row>
    <row r="633" spans="1:16" x14ac:dyDescent="0.35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2">
        <v>41821</v>
      </c>
      <c r="N633">
        <v>7</v>
      </c>
      <c r="O633" t="s">
        <v>39</v>
      </c>
      <c r="P633">
        <v>2014</v>
      </c>
    </row>
    <row r="634" spans="1:16" x14ac:dyDescent="0.35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2">
        <v>41883</v>
      </c>
      <c r="N634">
        <v>9</v>
      </c>
      <c r="O634" t="s">
        <v>28</v>
      </c>
      <c r="P634">
        <v>2014</v>
      </c>
    </row>
    <row r="635" spans="1:16" x14ac:dyDescent="0.35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2">
        <v>41548</v>
      </c>
      <c r="N635">
        <v>10</v>
      </c>
      <c r="O635" t="s">
        <v>34</v>
      </c>
      <c r="P635">
        <v>2013</v>
      </c>
    </row>
    <row r="636" spans="1:16" x14ac:dyDescent="0.35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2">
        <v>41548</v>
      </c>
      <c r="N636">
        <v>10</v>
      </c>
      <c r="O636" t="s">
        <v>34</v>
      </c>
      <c r="P636">
        <v>2013</v>
      </c>
    </row>
    <row r="637" spans="1:16" x14ac:dyDescent="0.35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2">
        <v>41974</v>
      </c>
      <c r="N637">
        <v>12</v>
      </c>
      <c r="O637" t="s">
        <v>20</v>
      </c>
      <c r="P637">
        <v>2014</v>
      </c>
    </row>
    <row r="638" spans="1:16" x14ac:dyDescent="0.35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2">
        <v>41974</v>
      </c>
      <c r="N638">
        <v>12</v>
      </c>
      <c r="O638" t="s">
        <v>20</v>
      </c>
      <c r="P638">
        <v>2014</v>
      </c>
    </row>
    <row r="639" spans="1:16" x14ac:dyDescent="0.35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2">
        <v>41699</v>
      </c>
      <c r="N639">
        <v>3</v>
      </c>
      <c r="O639" t="s">
        <v>33</v>
      </c>
      <c r="P639">
        <v>2014</v>
      </c>
    </row>
    <row r="640" spans="1:16" x14ac:dyDescent="0.35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2">
        <v>41699</v>
      </c>
      <c r="N640">
        <v>3</v>
      </c>
      <c r="O640" t="s">
        <v>33</v>
      </c>
      <c r="P640">
        <v>2014</v>
      </c>
    </row>
    <row r="641" spans="1:16" x14ac:dyDescent="0.35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2">
        <v>41730</v>
      </c>
      <c r="N641">
        <v>4</v>
      </c>
      <c r="O641" t="s">
        <v>35</v>
      </c>
      <c r="P641">
        <v>2014</v>
      </c>
    </row>
    <row r="642" spans="1:16" x14ac:dyDescent="0.35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2">
        <v>41791</v>
      </c>
      <c r="N642">
        <v>6</v>
      </c>
      <c r="O642" t="s">
        <v>22</v>
      </c>
      <c r="P642">
        <v>2014</v>
      </c>
    </row>
    <row r="643" spans="1:16" x14ac:dyDescent="0.35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2">
        <v>41883</v>
      </c>
      <c r="N643">
        <v>9</v>
      </c>
      <c r="O643" t="s">
        <v>28</v>
      </c>
      <c r="P643">
        <v>2014</v>
      </c>
    </row>
    <row r="644" spans="1:16" x14ac:dyDescent="0.35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2">
        <v>41913</v>
      </c>
      <c r="N644">
        <v>10</v>
      </c>
      <c r="O644" t="s">
        <v>34</v>
      </c>
      <c r="P644">
        <v>2014</v>
      </c>
    </row>
    <row r="645" spans="1:16" x14ac:dyDescent="0.35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2">
        <v>41548</v>
      </c>
      <c r="N645">
        <v>10</v>
      </c>
      <c r="O645" t="s">
        <v>34</v>
      </c>
      <c r="P645">
        <v>2013</v>
      </c>
    </row>
    <row r="646" spans="1:16" x14ac:dyDescent="0.35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2">
        <v>41609</v>
      </c>
      <c r="N646">
        <v>12</v>
      </c>
      <c r="O646" t="s">
        <v>20</v>
      </c>
      <c r="P646">
        <v>2013</v>
      </c>
    </row>
    <row r="647" spans="1:16" x14ac:dyDescent="0.35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2">
        <v>41730</v>
      </c>
      <c r="N647">
        <v>4</v>
      </c>
      <c r="O647" t="s">
        <v>35</v>
      </c>
      <c r="P647">
        <v>2014</v>
      </c>
    </row>
    <row r="648" spans="1:16" x14ac:dyDescent="0.35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2">
        <v>41548</v>
      </c>
      <c r="N648">
        <v>10</v>
      </c>
      <c r="O648" t="s">
        <v>34</v>
      </c>
      <c r="P648">
        <v>2013</v>
      </c>
    </row>
    <row r="649" spans="1:16" x14ac:dyDescent="0.35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2">
        <v>41852</v>
      </c>
      <c r="N649">
        <v>8</v>
      </c>
      <c r="O649" t="s">
        <v>38</v>
      </c>
      <c r="P649">
        <v>2014</v>
      </c>
    </row>
    <row r="650" spans="1:16" x14ac:dyDescent="0.35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2">
        <v>41852</v>
      </c>
      <c r="N650">
        <v>8</v>
      </c>
      <c r="O650" t="s">
        <v>38</v>
      </c>
      <c r="P650">
        <v>2014</v>
      </c>
    </row>
    <row r="651" spans="1:16" x14ac:dyDescent="0.35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2">
        <v>41913</v>
      </c>
      <c r="N651">
        <v>10</v>
      </c>
      <c r="O651" t="s">
        <v>34</v>
      </c>
      <c r="P651">
        <v>2014</v>
      </c>
    </row>
    <row r="652" spans="1:16" x14ac:dyDescent="0.35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2">
        <v>41760</v>
      </c>
      <c r="N652">
        <v>5</v>
      </c>
      <c r="O652" t="s">
        <v>42</v>
      </c>
      <c r="P652">
        <v>2014</v>
      </c>
    </row>
    <row r="653" spans="1:16" x14ac:dyDescent="0.35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2">
        <v>41791</v>
      </c>
      <c r="N653">
        <v>6</v>
      </c>
      <c r="O653" t="s">
        <v>22</v>
      </c>
      <c r="P653">
        <v>2014</v>
      </c>
    </row>
    <row r="654" spans="1:16" x14ac:dyDescent="0.35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2">
        <v>41821</v>
      </c>
      <c r="N654">
        <v>7</v>
      </c>
      <c r="O654" t="s">
        <v>39</v>
      </c>
      <c r="P654">
        <v>2014</v>
      </c>
    </row>
    <row r="655" spans="1:16" x14ac:dyDescent="0.35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2">
        <v>41852</v>
      </c>
      <c r="N655">
        <v>8</v>
      </c>
      <c r="O655" t="s">
        <v>38</v>
      </c>
      <c r="P655">
        <v>2014</v>
      </c>
    </row>
    <row r="656" spans="1:16" x14ac:dyDescent="0.35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2">
        <v>41518</v>
      </c>
      <c r="N656">
        <v>9</v>
      </c>
      <c r="O656" t="s">
        <v>28</v>
      </c>
      <c r="P656">
        <v>2013</v>
      </c>
    </row>
    <row r="657" spans="1:16" x14ac:dyDescent="0.35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2">
        <v>41518</v>
      </c>
      <c r="N657">
        <v>9</v>
      </c>
      <c r="O657" t="s">
        <v>28</v>
      </c>
      <c r="P657">
        <v>2013</v>
      </c>
    </row>
    <row r="658" spans="1:16" x14ac:dyDescent="0.35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2">
        <v>41579</v>
      </c>
      <c r="N658">
        <v>11</v>
      </c>
      <c r="O658" t="s">
        <v>24</v>
      </c>
      <c r="P658">
        <v>2013</v>
      </c>
    </row>
    <row r="659" spans="1:16" x14ac:dyDescent="0.35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2">
        <v>41579</v>
      </c>
      <c r="N659">
        <v>11</v>
      </c>
      <c r="O659" t="s">
        <v>24</v>
      </c>
      <c r="P659">
        <v>2013</v>
      </c>
    </row>
    <row r="660" spans="1:16" x14ac:dyDescent="0.35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2">
        <v>41699</v>
      </c>
      <c r="N660">
        <v>3</v>
      </c>
      <c r="O660" t="s">
        <v>33</v>
      </c>
      <c r="P660">
        <v>2014</v>
      </c>
    </row>
    <row r="661" spans="1:16" x14ac:dyDescent="0.35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2">
        <v>41791</v>
      </c>
      <c r="N661">
        <v>6</v>
      </c>
      <c r="O661" t="s">
        <v>22</v>
      </c>
      <c r="P661">
        <v>2014</v>
      </c>
    </row>
    <row r="662" spans="1:16" x14ac:dyDescent="0.35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2">
        <v>41640</v>
      </c>
      <c r="N662">
        <v>1</v>
      </c>
      <c r="O662" t="s">
        <v>41</v>
      </c>
      <c r="P662">
        <v>2014</v>
      </c>
    </row>
    <row r="663" spans="1:16" x14ac:dyDescent="0.35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2">
        <v>41730</v>
      </c>
      <c r="N663">
        <v>4</v>
      </c>
      <c r="O663" t="s">
        <v>35</v>
      </c>
      <c r="P663">
        <v>2014</v>
      </c>
    </row>
    <row r="664" spans="1:16" x14ac:dyDescent="0.35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2">
        <v>41791</v>
      </c>
      <c r="N664">
        <v>6</v>
      </c>
      <c r="O664" t="s">
        <v>22</v>
      </c>
      <c r="P664">
        <v>2014</v>
      </c>
    </row>
    <row r="665" spans="1:16" x14ac:dyDescent="0.35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2">
        <v>41913</v>
      </c>
      <c r="N665">
        <v>10</v>
      </c>
      <c r="O665" t="s">
        <v>34</v>
      </c>
      <c r="P665">
        <v>2014</v>
      </c>
    </row>
    <row r="666" spans="1:16" x14ac:dyDescent="0.35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2">
        <v>41548</v>
      </c>
      <c r="N666">
        <v>10</v>
      </c>
      <c r="O666" t="s">
        <v>34</v>
      </c>
      <c r="P666">
        <v>2013</v>
      </c>
    </row>
    <row r="667" spans="1:16" x14ac:dyDescent="0.35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2">
        <v>41944</v>
      </c>
      <c r="N667">
        <v>11</v>
      </c>
      <c r="O667" t="s">
        <v>24</v>
      </c>
      <c r="P667">
        <v>2014</v>
      </c>
    </row>
    <row r="668" spans="1:16" x14ac:dyDescent="0.35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2">
        <v>41579</v>
      </c>
      <c r="N668">
        <v>11</v>
      </c>
      <c r="O668" t="s">
        <v>24</v>
      </c>
      <c r="P668">
        <v>2013</v>
      </c>
    </row>
    <row r="669" spans="1:16" x14ac:dyDescent="0.35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2">
        <v>41974</v>
      </c>
      <c r="N669">
        <v>12</v>
      </c>
      <c r="O669" t="s">
        <v>20</v>
      </c>
      <c r="P669">
        <v>2014</v>
      </c>
    </row>
    <row r="670" spans="1:16" x14ac:dyDescent="0.35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2">
        <v>41548</v>
      </c>
      <c r="N670">
        <v>10</v>
      </c>
      <c r="O670" t="s">
        <v>34</v>
      </c>
      <c r="P670">
        <v>2013</v>
      </c>
    </row>
    <row r="671" spans="1:16" x14ac:dyDescent="0.35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2">
        <v>41760</v>
      </c>
      <c r="N671">
        <v>5</v>
      </c>
      <c r="O671" t="s">
        <v>42</v>
      </c>
      <c r="P671">
        <v>2014</v>
      </c>
    </row>
    <row r="672" spans="1:16" x14ac:dyDescent="0.35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2">
        <v>41548</v>
      </c>
      <c r="N672">
        <v>10</v>
      </c>
      <c r="O672" t="s">
        <v>34</v>
      </c>
      <c r="P672">
        <v>2013</v>
      </c>
    </row>
    <row r="673" spans="1:16" x14ac:dyDescent="0.35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2">
        <v>41548</v>
      </c>
      <c r="N673">
        <v>10</v>
      </c>
      <c r="O673" t="s">
        <v>34</v>
      </c>
      <c r="P673">
        <v>2013</v>
      </c>
    </row>
    <row r="674" spans="1:16" x14ac:dyDescent="0.35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2">
        <v>41640</v>
      </c>
      <c r="N674">
        <v>1</v>
      </c>
      <c r="O674" t="s">
        <v>41</v>
      </c>
      <c r="P674">
        <v>2014</v>
      </c>
    </row>
    <row r="675" spans="1:16" x14ac:dyDescent="0.35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2">
        <v>41821</v>
      </c>
      <c r="N675">
        <v>7</v>
      </c>
      <c r="O675" t="s">
        <v>39</v>
      </c>
      <c r="P675">
        <v>2014</v>
      </c>
    </row>
    <row r="676" spans="1:16" x14ac:dyDescent="0.35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2">
        <v>41821</v>
      </c>
      <c r="N676">
        <v>7</v>
      </c>
      <c r="O676" t="s">
        <v>39</v>
      </c>
      <c r="P676">
        <v>2014</v>
      </c>
    </row>
    <row r="677" spans="1:16" x14ac:dyDescent="0.35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2">
        <v>41852</v>
      </c>
      <c r="N677">
        <v>8</v>
      </c>
      <c r="O677" t="s">
        <v>38</v>
      </c>
      <c r="P677">
        <v>2014</v>
      </c>
    </row>
    <row r="678" spans="1:16" x14ac:dyDescent="0.35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2">
        <v>41913</v>
      </c>
      <c r="N678">
        <v>10</v>
      </c>
      <c r="O678" t="s">
        <v>34</v>
      </c>
      <c r="P678">
        <v>2014</v>
      </c>
    </row>
    <row r="679" spans="1:16" x14ac:dyDescent="0.35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2">
        <v>41944</v>
      </c>
      <c r="N679">
        <v>11</v>
      </c>
      <c r="O679" t="s">
        <v>24</v>
      </c>
      <c r="P679">
        <v>2014</v>
      </c>
    </row>
    <row r="680" spans="1:16" x14ac:dyDescent="0.35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2">
        <v>41640</v>
      </c>
      <c r="N680">
        <v>1</v>
      </c>
      <c r="O680" t="s">
        <v>41</v>
      </c>
      <c r="P680">
        <v>2014</v>
      </c>
    </row>
    <row r="681" spans="1:16" x14ac:dyDescent="0.35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2">
        <v>41913</v>
      </c>
      <c r="N681">
        <v>10</v>
      </c>
      <c r="O681" t="s">
        <v>34</v>
      </c>
      <c r="P681">
        <v>2014</v>
      </c>
    </row>
    <row r="682" spans="1:16" x14ac:dyDescent="0.35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2">
        <v>41944</v>
      </c>
      <c r="N682">
        <v>11</v>
      </c>
      <c r="O682" t="s">
        <v>24</v>
      </c>
      <c r="P682">
        <v>2014</v>
      </c>
    </row>
    <row r="683" spans="1:16" x14ac:dyDescent="0.35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2">
        <v>41944</v>
      </c>
      <c r="N683">
        <v>11</v>
      </c>
      <c r="O683" t="s">
        <v>24</v>
      </c>
      <c r="P683">
        <v>2014</v>
      </c>
    </row>
    <row r="684" spans="1:16" x14ac:dyDescent="0.35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2">
        <v>41609</v>
      </c>
      <c r="N684">
        <v>12</v>
      </c>
      <c r="O684" t="s">
        <v>20</v>
      </c>
      <c r="P684">
        <v>2013</v>
      </c>
    </row>
    <row r="685" spans="1:16" x14ac:dyDescent="0.35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2">
        <v>41640</v>
      </c>
      <c r="N685">
        <v>1</v>
      </c>
      <c r="O685" t="s">
        <v>41</v>
      </c>
      <c r="P685">
        <v>2014</v>
      </c>
    </row>
    <row r="686" spans="1:16" x14ac:dyDescent="0.35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2">
        <v>41791</v>
      </c>
      <c r="N686">
        <v>6</v>
      </c>
      <c r="O686" t="s">
        <v>22</v>
      </c>
      <c r="P686">
        <v>2014</v>
      </c>
    </row>
    <row r="687" spans="1:16" x14ac:dyDescent="0.35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2">
        <v>41821</v>
      </c>
      <c r="N687">
        <v>7</v>
      </c>
      <c r="O687" t="s">
        <v>39</v>
      </c>
      <c r="P687">
        <v>2014</v>
      </c>
    </row>
    <row r="688" spans="1:16" x14ac:dyDescent="0.35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2">
        <v>41913</v>
      </c>
      <c r="N688">
        <v>10</v>
      </c>
      <c r="O688" t="s">
        <v>34</v>
      </c>
      <c r="P688">
        <v>2014</v>
      </c>
    </row>
    <row r="689" spans="1:16" x14ac:dyDescent="0.35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2">
        <v>41974</v>
      </c>
      <c r="N689">
        <v>12</v>
      </c>
      <c r="O689" t="s">
        <v>20</v>
      </c>
      <c r="P689">
        <v>2014</v>
      </c>
    </row>
    <row r="690" spans="1:16" x14ac:dyDescent="0.35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2">
        <v>41671</v>
      </c>
      <c r="N690">
        <v>2</v>
      </c>
      <c r="O690" t="s">
        <v>30</v>
      </c>
      <c r="P690">
        <v>2014</v>
      </c>
    </row>
    <row r="691" spans="1:16" x14ac:dyDescent="0.35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2">
        <v>41883</v>
      </c>
      <c r="N691">
        <v>9</v>
      </c>
      <c r="O691" t="s">
        <v>28</v>
      </c>
      <c r="P691">
        <v>2014</v>
      </c>
    </row>
    <row r="692" spans="1:16" x14ac:dyDescent="0.35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2">
        <v>41913</v>
      </c>
      <c r="N692">
        <v>10</v>
      </c>
      <c r="O692" t="s">
        <v>34</v>
      </c>
      <c r="P692">
        <v>2014</v>
      </c>
    </row>
    <row r="693" spans="1:16" x14ac:dyDescent="0.35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2">
        <v>41518</v>
      </c>
      <c r="N693">
        <v>9</v>
      </c>
      <c r="O693" t="s">
        <v>28</v>
      </c>
      <c r="P693">
        <v>2013</v>
      </c>
    </row>
    <row r="694" spans="1:16" x14ac:dyDescent="0.35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2">
        <v>41548</v>
      </c>
      <c r="N694">
        <v>10</v>
      </c>
      <c r="O694" t="s">
        <v>34</v>
      </c>
      <c r="P694">
        <v>2013</v>
      </c>
    </row>
    <row r="695" spans="1:16" x14ac:dyDescent="0.35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2">
        <v>41913</v>
      </c>
      <c r="N695">
        <v>10</v>
      </c>
      <c r="O695" t="s">
        <v>34</v>
      </c>
      <c r="P695">
        <v>2014</v>
      </c>
    </row>
    <row r="696" spans="1:16" x14ac:dyDescent="0.35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2">
        <v>41579</v>
      </c>
      <c r="N696">
        <v>11</v>
      </c>
      <c r="O696" t="s">
        <v>24</v>
      </c>
      <c r="P696">
        <v>2013</v>
      </c>
    </row>
    <row r="697" spans="1:16" x14ac:dyDescent="0.35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2">
        <v>41730</v>
      </c>
      <c r="N697">
        <v>4</v>
      </c>
      <c r="O697" t="s">
        <v>35</v>
      </c>
      <c r="P697">
        <v>2014</v>
      </c>
    </row>
    <row r="698" spans="1:16" x14ac:dyDescent="0.35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2">
        <v>41852</v>
      </c>
      <c r="N698">
        <v>8</v>
      </c>
      <c r="O698" t="s">
        <v>38</v>
      </c>
      <c r="P698">
        <v>2014</v>
      </c>
    </row>
    <row r="699" spans="1:16" x14ac:dyDescent="0.35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2">
        <v>41913</v>
      </c>
      <c r="N699">
        <v>10</v>
      </c>
      <c r="O699" t="s">
        <v>34</v>
      </c>
      <c r="P699">
        <v>2014</v>
      </c>
    </row>
    <row r="700" spans="1:16" x14ac:dyDescent="0.35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2">
        <v>41913</v>
      </c>
      <c r="N700">
        <v>10</v>
      </c>
      <c r="O700" t="s">
        <v>34</v>
      </c>
      <c r="P700">
        <v>2014</v>
      </c>
    </row>
    <row r="701" spans="1:16" x14ac:dyDescent="0.35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2">
        <v>41974</v>
      </c>
      <c r="N701">
        <v>12</v>
      </c>
      <c r="O701" t="s">
        <v>20</v>
      </c>
      <c r="P701">
        <v>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6D96-0DBF-4FFB-9605-B53F498B5803}">
  <dimension ref="A1:F2"/>
  <sheetViews>
    <sheetView tabSelected="1" workbookViewId="0">
      <selection activeCell="I2" sqref="I2"/>
    </sheetView>
  </sheetViews>
  <sheetFormatPr defaultRowHeight="14.5" x14ac:dyDescent="0.35"/>
  <cols>
    <col min="1" max="16384" width="8.7265625" style="12"/>
  </cols>
  <sheetData>
    <row r="1" spans="1:6" ht="29.5" customHeight="1" x14ac:dyDescent="0.55000000000000004">
      <c r="A1" s="6" t="s">
        <v>52</v>
      </c>
      <c r="B1" s="7"/>
      <c r="C1" s="8"/>
      <c r="D1" s="6" t="s">
        <v>53</v>
      </c>
      <c r="E1" s="7"/>
      <c r="F1" s="8"/>
    </row>
    <row r="2" spans="1:6" ht="31" customHeight="1" x14ac:dyDescent="0.55000000000000004">
      <c r="A2" s="9">
        <f>SUM('Sample data'!J2:J701)</f>
        <v>118726350.26000008</v>
      </c>
      <c r="B2" s="10"/>
      <c r="C2" s="11"/>
      <c r="D2" s="9">
        <f>SUM('Sample data'!L2:L701)</f>
        <v>16893702.260000002</v>
      </c>
      <c r="E2" s="10"/>
      <c r="F2" s="11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Country</vt:lpstr>
      <vt:lpstr>Profit by Segment</vt:lpstr>
      <vt:lpstr>Monthly Sales Trend</vt:lpstr>
      <vt:lpstr>Sample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nagar</cp:lastModifiedBy>
  <dcterms:created xsi:type="dcterms:W3CDTF">2026-08-23T14:54:09Z</dcterms:created>
  <dcterms:modified xsi:type="dcterms:W3CDTF">2026-08-23T15:38:02Z</dcterms:modified>
</cp:coreProperties>
</file>